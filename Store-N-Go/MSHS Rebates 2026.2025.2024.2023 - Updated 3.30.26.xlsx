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D:\"/>
    </mc:Choice>
  </mc:AlternateContent>
  <xr:revisionPtr revIDLastSave="0" documentId="8_{4A5C322C-EDCE-466B-B866-FEE222350CEF}" xr6:coauthVersionLast="47" xr6:coauthVersionMax="47" xr10:uidLastSave="{00000000-0000-0000-0000-000000000000}"/>
  <bookViews>
    <workbookView xWindow="-28215" yWindow="1860" windowWidth="27060" windowHeight="14055" xr2:uid="{03404542-A2E3-4548-8437-55DA95EB8D81}"/>
  </bookViews>
  <sheets>
    <sheet name="2026 Rebates" sheetId="8" r:id="rId1"/>
    <sheet name="2025 Rebates" sheetId="3" r:id="rId2"/>
    <sheet name="2024 Rebates" sheetId="1" r:id="rId3"/>
    <sheet name="2023 Rebates" sheetId="5" r:id="rId4"/>
    <sheet name="Rebate Components Master List" sheetId="4" r:id="rId5"/>
    <sheet name="Un-Utilized Rebates" sheetId="7" r:id="rId6"/>
  </sheets>
  <externalReferences>
    <externalReference r:id="rId7"/>
    <externalReference r:id="rId8"/>
    <externalReference r:id="rId9"/>
  </externalReferences>
  <definedNames>
    <definedName name="_xlnm._FilterDatabase" localSheetId="3" hidden="1">'2023 Rebates'!$A$1:$U$190</definedName>
    <definedName name="_xlnm._FilterDatabase" localSheetId="2" hidden="1">'2024 Rebates'!$A$1:$AR$224</definedName>
    <definedName name="_xlnm._FilterDatabase" localSheetId="1" hidden="1">'2025 Rebates'!$A$1:$AL$187</definedName>
    <definedName name="_xlnm._FilterDatabase" localSheetId="0" hidden="1">'2026 Rebates'!$A$1:$AL$45</definedName>
    <definedName name="_xlnm._FilterDatabase" localSheetId="4" hidden="1">'Rebate Components Master List'!$A$1:$I$105</definedName>
    <definedName name="_xlnm._FilterDatabase" localSheetId="5" hidden="1">'Un-Utilized Rebates'!$B$1:$J$60</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37" i="8" l="1"/>
  <c r="AL37" i="8" s="1"/>
  <c r="AK32" i="8" l="1"/>
  <c r="AL32" i="8" s="1"/>
  <c r="AD36" i="8" l="1"/>
  <c r="AC36" i="8"/>
  <c r="AK36" i="8" s="1"/>
  <c r="AL36" i="8" s="1"/>
  <c r="AK34" i="8"/>
  <c r="AL34" i="8" s="1"/>
  <c r="AK35" i="8"/>
  <c r="AL35" i="8" s="1"/>
  <c r="AK33" i="8" l="1"/>
  <c r="AL33" i="8" s="1"/>
  <c r="S39" i="8"/>
  <c r="AK31" i="8"/>
  <c r="AL31" i="8" s="1"/>
  <c r="AK30" i="8"/>
  <c r="AL30" i="8" s="1"/>
  <c r="AK20" i="8" l="1"/>
  <c r="AL20" i="8" s="1"/>
  <c r="AK29" i="8"/>
  <c r="AL29" i="8" s="1"/>
  <c r="AK28" i="8"/>
  <c r="AL28" i="8" s="1"/>
  <c r="AK27" i="8"/>
  <c r="AL27" i="8" s="1"/>
  <c r="AK13" i="8" l="1"/>
  <c r="AL13" i="8" s="1"/>
  <c r="AK14" i="8"/>
  <c r="AL14" i="8" s="1"/>
  <c r="AK15" i="8"/>
  <c r="AL15" i="8" s="1"/>
  <c r="AK16" i="8"/>
  <c r="AL16" i="8" s="1"/>
  <c r="AK17" i="8"/>
  <c r="AL17" i="8" s="1"/>
  <c r="AK18" i="8"/>
  <c r="AL18" i="8" s="1"/>
  <c r="AK19" i="8"/>
  <c r="AL19" i="8" s="1"/>
  <c r="AK21" i="8"/>
  <c r="AL21" i="8" s="1"/>
  <c r="AK22" i="8"/>
  <c r="AL22" i="8" s="1"/>
  <c r="AK23" i="8"/>
  <c r="AL23" i="8" s="1"/>
  <c r="AK24" i="8"/>
  <c r="AL24" i="8" s="1"/>
  <c r="AK25" i="8"/>
  <c r="AL25" i="8" s="1"/>
  <c r="AK26" i="8"/>
  <c r="AL26" i="8" s="1"/>
  <c r="AK184" i="3" l="1"/>
  <c r="AL184" i="3" s="1"/>
  <c r="AK183" i="3"/>
  <c r="AL183" i="3" s="1"/>
  <c r="AK182" i="3"/>
  <c r="AL182" i="3" s="1"/>
  <c r="AK181" i="3"/>
  <c r="AL181" i="3" s="1"/>
  <c r="AD181" i="3"/>
  <c r="AC181" i="3"/>
  <c r="AK180" i="3"/>
  <c r="AL180" i="3" s="1"/>
  <c r="S180" i="3"/>
  <c r="AK179" i="3"/>
  <c r="AL179" i="3" s="1"/>
  <c r="AC178" i="3"/>
  <c r="AK178" i="3" s="1"/>
  <c r="S178" i="3"/>
  <c r="AK177" i="3"/>
  <c r="AL177" i="3" s="1"/>
  <c r="AK176" i="3"/>
  <c r="AL176" i="3" s="1"/>
  <c r="AK175" i="3"/>
  <c r="AL175" i="3" s="1"/>
  <c r="AC174" i="3"/>
  <c r="AK174" i="3" s="1"/>
  <c r="S174" i="3"/>
  <c r="AK12" i="8"/>
  <c r="AL12" i="8" s="1"/>
  <c r="AK11" i="8"/>
  <c r="AL11" i="8" s="1"/>
  <c r="AK10" i="8"/>
  <c r="AL10" i="8" s="1"/>
  <c r="AK9" i="8"/>
  <c r="AL9" i="8" s="1"/>
  <c r="AK8" i="8"/>
  <c r="AL8" i="8" s="1"/>
  <c r="AK7" i="8"/>
  <c r="AL7" i="8" s="1"/>
  <c r="AK6" i="8"/>
  <c r="AL6" i="8" s="1"/>
  <c r="AK5" i="8"/>
  <c r="AL5" i="8" s="1"/>
  <c r="AK4" i="8"/>
  <c r="AL4" i="8" s="1"/>
  <c r="AK3" i="8"/>
  <c r="AL3" i="8" s="1"/>
  <c r="AK2" i="8"/>
  <c r="AL2" i="8" s="1"/>
  <c r="AL178" i="3" l="1"/>
  <c r="AL174" i="3"/>
  <c r="AK165" i="3" l="1"/>
  <c r="AL165" i="3" s="1"/>
  <c r="AK166" i="3"/>
  <c r="AL166" i="3" s="1"/>
  <c r="AK168" i="3"/>
  <c r="AL168" i="3" s="1"/>
  <c r="AK169" i="3"/>
  <c r="AL169" i="3" s="1"/>
  <c r="AK170" i="3"/>
  <c r="AL170" i="3" s="1"/>
  <c r="AK171" i="3"/>
  <c r="AL171" i="3" s="1"/>
  <c r="AK172" i="3"/>
  <c r="AL172" i="3" s="1"/>
  <c r="AK173" i="3"/>
  <c r="AL173" i="3" s="1"/>
  <c r="AK153" i="3" l="1"/>
  <c r="AL153" i="3" s="1"/>
  <c r="AE167" i="3" l="1"/>
  <c r="AC167" i="3"/>
  <c r="X167" i="3"/>
  <c r="AK167" i="3" l="1"/>
  <c r="AL167" i="3" s="1"/>
  <c r="AK142" i="3"/>
  <c r="AL142" i="3" s="1"/>
  <c r="AK143" i="3"/>
  <c r="AL143" i="3" s="1"/>
  <c r="AK144" i="3"/>
  <c r="AL144" i="3" s="1"/>
  <c r="AK145" i="3"/>
  <c r="AL145" i="3" s="1"/>
  <c r="AK146" i="3"/>
  <c r="AL146" i="3" s="1"/>
  <c r="AK147" i="3"/>
  <c r="AL147" i="3" s="1"/>
  <c r="AK148" i="3"/>
  <c r="AL148" i="3" s="1"/>
  <c r="AK150" i="3"/>
  <c r="AL150" i="3" s="1"/>
  <c r="AK151" i="3"/>
  <c r="AL151" i="3" s="1"/>
  <c r="AK152" i="3"/>
  <c r="AL152" i="3" s="1"/>
  <c r="AK155" i="3"/>
  <c r="AL155" i="3" s="1"/>
  <c r="AK156" i="3"/>
  <c r="AL156" i="3" s="1"/>
  <c r="AK157" i="3"/>
  <c r="AL157" i="3" s="1"/>
  <c r="AK158" i="3"/>
  <c r="AL158" i="3" s="1"/>
  <c r="AK159" i="3"/>
  <c r="AL159" i="3" s="1"/>
  <c r="AK160" i="3"/>
  <c r="AL160" i="3" s="1"/>
  <c r="AK161" i="3"/>
  <c r="AL161" i="3" s="1"/>
  <c r="AK162" i="3"/>
  <c r="AL162" i="3" s="1"/>
  <c r="AK163" i="3"/>
  <c r="AL163" i="3" s="1"/>
  <c r="AK164" i="3"/>
  <c r="AL164" i="3" s="1"/>
  <c r="AK55" i="3" l="1"/>
  <c r="AK56" i="3"/>
  <c r="AK57" i="3"/>
  <c r="AK58" i="3"/>
  <c r="AK59" i="3"/>
  <c r="AK60" i="3"/>
  <c r="AK61" i="3"/>
  <c r="AK62" i="3"/>
  <c r="AK141" i="3" l="1"/>
  <c r="AL141" i="3" s="1"/>
  <c r="AI135" i="3" l="1"/>
  <c r="AD135" i="3"/>
  <c r="AC135" i="3"/>
  <c r="AA135" i="3"/>
  <c r="AK135" i="3" l="1"/>
  <c r="AL135" i="3" s="1"/>
  <c r="AK139" i="3" l="1"/>
  <c r="AL139" i="3" s="1"/>
  <c r="AD138" i="3"/>
  <c r="AC138" i="3"/>
  <c r="AK128" i="3"/>
  <c r="AL128" i="3" s="1"/>
  <c r="AK129" i="3"/>
  <c r="AL129" i="3" s="1"/>
  <c r="AK131" i="3"/>
  <c r="AL131" i="3" s="1"/>
  <c r="AK132" i="3"/>
  <c r="AL132" i="3" s="1"/>
  <c r="AK133" i="3"/>
  <c r="AL133" i="3" s="1"/>
  <c r="AK136" i="3"/>
  <c r="AL136" i="3" s="1"/>
  <c r="AK137" i="3"/>
  <c r="AL137" i="3" s="1"/>
  <c r="AL117" i="3"/>
  <c r="AL118" i="3"/>
  <c r="AL121" i="3"/>
  <c r="AL122" i="3"/>
  <c r="AL123" i="3"/>
  <c r="AL124" i="3"/>
  <c r="AK138" i="3" l="1"/>
  <c r="AL138" i="3" s="1"/>
  <c r="S2" i="1"/>
  <c r="AK120" i="3" l="1"/>
  <c r="AL120" i="3" s="1"/>
  <c r="AI175" i="1" l="1"/>
  <c r="AD166" i="1"/>
  <c r="AK166" i="1" s="1"/>
  <c r="AL166" i="1" s="1"/>
  <c r="AK157" i="1"/>
  <c r="AC141" i="1"/>
  <c r="AC122" i="1"/>
  <c r="AC112" i="1"/>
  <c r="AC77" i="1"/>
  <c r="AC74" i="1"/>
  <c r="AC72" i="1"/>
  <c r="AC71" i="1"/>
  <c r="AK9" i="1"/>
  <c r="AL9" i="1" s="1"/>
  <c r="AK11" i="1"/>
  <c r="AL11" i="1" s="1"/>
  <c r="AK12" i="1"/>
  <c r="AL12" i="1" s="1"/>
  <c r="AK13" i="1"/>
  <c r="AL13" i="1" s="1"/>
  <c r="AK14" i="1"/>
  <c r="AL14" i="1" s="1"/>
  <c r="AK16" i="1"/>
  <c r="AK17" i="1"/>
  <c r="AK18" i="1"/>
  <c r="AK19" i="1"/>
  <c r="AK21" i="1"/>
  <c r="AL21" i="1" s="1"/>
  <c r="AK22" i="1"/>
  <c r="AL22" i="1" s="1"/>
  <c r="AK23" i="1"/>
  <c r="AL23" i="1" s="1"/>
  <c r="AK24" i="1"/>
  <c r="AL24" i="1" s="1"/>
  <c r="AK25" i="1"/>
  <c r="AL25" i="1" s="1"/>
  <c r="AK26" i="1"/>
  <c r="AL26" i="1" s="1"/>
  <c r="AK28" i="1"/>
  <c r="AL28" i="1" s="1"/>
  <c r="AK29" i="1"/>
  <c r="AL29" i="1" s="1"/>
  <c r="AK31" i="1"/>
  <c r="AL31" i="1" s="1"/>
  <c r="AK32" i="1"/>
  <c r="AL32" i="1" s="1"/>
  <c r="AK34" i="1"/>
  <c r="AL34" i="1" s="1"/>
  <c r="AK35" i="1"/>
  <c r="AL35" i="1" s="1"/>
  <c r="AK36" i="1"/>
  <c r="AL36" i="1" s="1"/>
  <c r="AL37" i="1"/>
  <c r="AK38" i="1"/>
  <c r="AL38" i="1" s="1"/>
  <c r="AK39" i="1"/>
  <c r="AL39" i="1" s="1"/>
  <c r="AK40" i="1"/>
  <c r="AL40" i="1" s="1"/>
  <c r="AK41" i="1"/>
  <c r="AL41" i="1" s="1"/>
  <c r="AK42" i="1"/>
  <c r="AL42" i="1" s="1"/>
  <c r="AK43" i="1"/>
  <c r="AL43" i="1" s="1"/>
  <c r="AK44" i="1"/>
  <c r="AL44" i="1" s="1"/>
  <c r="AK45" i="1"/>
  <c r="AL45" i="1" s="1"/>
  <c r="AL46" i="1"/>
  <c r="AL47" i="1"/>
  <c r="AK48" i="1"/>
  <c r="AL48" i="1" s="1"/>
  <c r="AK50" i="1"/>
  <c r="AL50" i="1" s="1"/>
  <c r="AK52" i="1"/>
  <c r="AK53" i="1"/>
  <c r="AL53" i="1" s="1"/>
  <c r="AK54" i="1"/>
  <c r="AL54" i="1" s="1"/>
  <c r="AK55" i="1"/>
  <c r="AL55" i="1" s="1"/>
  <c r="AK56" i="1"/>
  <c r="AL56" i="1" s="1"/>
  <c r="AK57" i="1"/>
  <c r="AL57" i="1" s="1"/>
  <c r="AK58" i="1"/>
  <c r="AL58" i="1" s="1"/>
  <c r="AK59" i="1"/>
  <c r="AL59" i="1" s="1"/>
  <c r="AK60" i="1"/>
  <c r="AL60" i="1" s="1"/>
  <c r="AK61" i="1"/>
  <c r="AL61" i="1" s="1"/>
  <c r="AK62" i="1"/>
  <c r="AL62" i="1" s="1"/>
  <c r="AK63" i="1"/>
  <c r="AL63" i="1" s="1"/>
  <c r="AK64" i="1"/>
  <c r="AK65" i="1"/>
  <c r="AL65" i="1" s="1"/>
  <c r="AK66" i="1"/>
  <c r="AL66" i="1" s="1"/>
  <c r="AK67" i="1"/>
  <c r="AL67" i="1" s="1"/>
  <c r="AK68" i="1"/>
  <c r="AL68" i="1" s="1"/>
  <c r="AK69" i="1"/>
  <c r="AL69" i="1" s="1"/>
  <c r="AK70" i="1"/>
  <c r="AL70" i="1" s="1"/>
  <c r="AK73" i="1"/>
  <c r="AK75" i="1"/>
  <c r="AK76" i="1"/>
  <c r="AK78" i="1"/>
  <c r="AL78" i="1" s="1"/>
  <c r="AK79" i="1"/>
  <c r="AL79" i="1" s="1"/>
  <c r="AK80" i="1"/>
  <c r="AL80" i="1" s="1"/>
  <c r="AK81" i="1"/>
  <c r="AL81" i="1" s="1"/>
  <c r="AK82" i="1"/>
  <c r="AL82" i="1" s="1"/>
  <c r="AK83" i="1"/>
  <c r="AL83" i="1" s="1"/>
  <c r="AK84" i="1"/>
  <c r="AK85" i="1"/>
  <c r="AL85" i="1" s="1"/>
  <c r="AK86" i="1"/>
  <c r="AL86" i="1" s="1"/>
  <c r="AK87" i="1"/>
  <c r="AL87" i="1" s="1"/>
  <c r="AK89" i="1"/>
  <c r="AL89" i="1" s="1"/>
  <c r="AK90" i="1"/>
  <c r="AL90" i="1" s="1"/>
  <c r="AK91" i="1"/>
  <c r="AL91" i="1" s="1"/>
  <c r="AK92" i="1"/>
  <c r="AL92" i="1" s="1"/>
  <c r="AK93" i="1"/>
  <c r="AL93" i="1" s="1"/>
  <c r="AK94" i="1"/>
  <c r="AL94" i="1" s="1"/>
  <c r="AK95" i="1"/>
  <c r="AL95" i="1" s="1"/>
  <c r="AK97" i="1"/>
  <c r="AL97" i="1" s="1"/>
  <c r="AK98" i="1"/>
  <c r="AL98" i="1" s="1"/>
  <c r="AK99" i="1"/>
  <c r="AL99" i="1" s="1"/>
  <c r="AK100" i="1"/>
  <c r="AL100" i="1" s="1"/>
  <c r="AK102" i="1"/>
  <c r="AL102" i="1" s="1"/>
  <c r="AK106" i="1"/>
  <c r="AL106" i="1" s="1"/>
  <c r="AK107" i="1"/>
  <c r="AL107" i="1" s="1"/>
  <c r="AK108" i="1"/>
  <c r="AL108" i="1" s="1"/>
  <c r="AK109" i="1"/>
  <c r="AL109" i="1" s="1"/>
  <c r="AK110" i="1"/>
  <c r="AL110" i="1" s="1"/>
  <c r="AK111" i="1"/>
  <c r="AL111" i="1" s="1"/>
  <c r="AK114" i="1"/>
  <c r="AL114" i="1" s="1"/>
  <c r="AK115" i="1"/>
  <c r="AL115" i="1" s="1"/>
  <c r="AK116" i="1"/>
  <c r="AL116" i="1" s="1"/>
  <c r="AK117" i="1"/>
  <c r="AL117" i="1" s="1"/>
  <c r="AK118" i="1"/>
  <c r="AL118" i="1" s="1"/>
  <c r="AK119" i="1"/>
  <c r="AL119" i="1" s="1"/>
  <c r="AK124" i="1"/>
  <c r="AL124" i="1" s="1"/>
  <c r="AK126" i="1"/>
  <c r="AL126" i="1" s="1"/>
  <c r="AK129" i="1"/>
  <c r="AL129" i="1" s="1"/>
  <c r="AK130" i="1"/>
  <c r="AL130" i="1" s="1"/>
  <c r="AK131" i="1"/>
  <c r="AL131" i="1" s="1"/>
  <c r="AK140" i="1"/>
  <c r="AL140" i="1" s="1"/>
  <c r="AK143" i="1"/>
  <c r="AL143" i="1" s="1"/>
  <c r="AK145" i="1"/>
  <c r="AL145" i="1" s="1"/>
  <c r="AK147" i="1"/>
  <c r="AL147" i="1" s="1"/>
  <c r="AK148" i="1"/>
  <c r="AL148" i="1" s="1"/>
  <c r="AK149" i="1"/>
  <c r="AK151" i="1"/>
  <c r="AL151" i="1" s="1"/>
  <c r="AK152" i="1"/>
  <c r="AL152" i="1" s="1"/>
  <c r="AK153" i="1"/>
  <c r="AL153" i="1" s="1"/>
  <c r="AK154" i="1"/>
  <c r="AL154" i="1" s="1"/>
  <c r="AK155" i="1"/>
  <c r="AL155" i="1" s="1"/>
  <c r="AK156" i="1"/>
  <c r="AL156" i="1" s="1"/>
  <c r="AK158" i="1"/>
  <c r="AL158" i="1" s="1"/>
  <c r="AK159" i="1"/>
  <c r="AL159" i="1" s="1"/>
  <c r="AK160" i="1"/>
  <c r="AL160" i="1" s="1"/>
  <c r="AK161" i="1"/>
  <c r="AL161" i="1" s="1"/>
  <c r="AK162" i="1"/>
  <c r="AL162" i="1" s="1"/>
  <c r="AK163" i="1"/>
  <c r="AL163" i="1" s="1"/>
  <c r="AK165" i="1"/>
  <c r="AL165" i="1" s="1"/>
  <c r="AK170" i="1"/>
  <c r="AL170" i="1" s="1"/>
  <c r="AK171" i="1"/>
  <c r="AL171" i="1" s="1"/>
  <c r="AK172" i="1"/>
  <c r="AL172" i="1" s="1"/>
  <c r="AK174" i="1"/>
  <c r="AL174" i="1" s="1"/>
  <c r="AL176" i="1"/>
  <c r="AK178" i="1"/>
  <c r="AL178" i="1" s="1"/>
  <c r="AK179" i="1"/>
  <c r="AL179" i="1" s="1"/>
  <c r="AK4" i="1"/>
  <c r="AL4" i="1" s="1"/>
  <c r="AK5" i="1"/>
  <c r="AL5" i="1" s="1"/>
  <c r="AK6" i="1"/>
  <c r="AL6" i="1" s="1"/>
  <c r="AK7" i="1"/>
  <c r="AL7" i="1" s="1"/>
  <c r="AK8" i="1"/>
  <c r="AL8" i="1" s="1"/>
  <c r="AK3" i="1"/>
  <c r="AL3" i="1" s="1"/>
  <c r="AC139" i="1"/>
  <c r="AC138" i="1"/>
  <c r="AC135" i="1"/>
  <c r="AC133" i="1"/>
  <c r="AC132" i="1"/>
  <c r="AC121" i="1"/>
  <c r="AC120" i="1"/>
  <c r="AC30" i="1"/>
  <c r="AK30" i="1" s="1"/>
  <c r="AL30" i="1" s="1"/>
  <c r="AI49" i="3"/>
  <c r="AK6" i="3"/>
  <c r="AL6" i="3" s="1"/>
  <c r="AK7" i="3"/>
  <c r="AL7" i="3" s="1"/>
  <c r="AK9" i="3"/>
  <c r="AL9" i="3" s="1"/>
  <c r="AK10" i="3"/>
  <c r="AL10" i="3" s="1"/>
  <c r="AK11" i="3"/>
  <c r="AL11" i="3" s="1"/>
  <c r="AK12" i="3"/>
  <c r="AL12" i="3" s="1"/>
  <c r="AK13" i="3"/>
  <c r="AL13" i="3" s="1"/>
  <c r="AK14" i="3"/>
  <c r="AL14" i="3" s="1"/>
  <c r="AK15" i="3"/>
  <c r="AL15" i="3" s="1"/>
  <c r="AK17" i="3"/>
  <c r="AL17" i="3" s="1"/>
  <c r="AK18" i="3"/>
  <c r="AL18" i="3" s="1"/>
  <c r="AK19" i="3"/>
  <c r="AL19" i="3" s="1"/>
  <c r="AK20" i="3"/>
  <c r="AL20" i="3" s="1"/>
  <c r="AK22" i="3"/>
  <c r="AL22" i="3" s="1"/>
  <c r="AK23" i="3"/>
  <c r="AL23" i="3" s="1"/>
  <c r="AK24" i="3"/>
  <c r="AL24" i="3" s="1"/>
  <c r="AK26" i="3"/>
  <c r="AL26" i="3" s="1"/>
  <c r="AK28" i="3"/>
  <c r="AL28" i="3" s="1"/>
  <c r="AK30" i="3"/>
  <c r="AL30" i="3" s="1"/>
  <c r="AK31" i="3"/>
  <c r="AL31" i="3" s="1"/>
  <c r="AK32" i="3"/>
  <c r="AK33" i="3"/>
  <c r="AL33" i="3" s="1"/>
  <c r="AK34" i="3"/>
  <c r="AL34" i="3" s="1"/>
  <c r="AK35" i="3"/>
  <c r="AL35" i="3" s="1"/>
  <c r="AK36" i="3"/>
  <c r="AL36" i="3" s="1"/>
  <c r="AK37" i="3"/>
  <c r="AL37" i="3" s="1"/>
  <c r="AK44" i="3"/>
  <c r="AL44" i="3" s="1"/>
  <c r="AK45" i="3"/>
  <c r="AL45" i="3" s="1"/>
  <c r="AK51" i="3"/>
  <c r="AL51" i="3" s="1"/>
  <c r="AK53" i="3"/>
  <c r="AL53" i="3" s="1"/>
  <c r="AL55" i="3"/>
  <c r="AL56" i="3"/>
  <c r="AL57" i="3"/>
  <c r="AL58" i="3"/>
  <c r="AL59" i="3"/>
  <c r="AL60" i="3"/>
  <c r="AL61" i="3"/>
  <c r="AL62" i="3"/>
  <c r="AK63" i="3"/>
  <c r="AL63" i="3" s="1"/>
  <c r="AK64" i="3"/>
  <c r="AL64" i="3" s="1"/>
  <c r="AK65" i="3"/>
  <c r="AL65" i="3" s="1"/>
  <c r="AK66" i="3"/>
  <c r="AL66" i="3" s="1"/>
  <c r="AK67" i="3"/>
  <c r="AL67" i="3" s="1"/>
  <c r="AK68" i="3"/>
  <c r="AL68" i="3" s="1"/>
  <c r="AK69" i="3"/>
  <c r="AL69" i="3" s="1"/>
  <c r="AK71" i="3"/>
  <c r="AL71" i="3" s="1"/>
  <c r="AK72" i="3"/>
  <c r="AL72" i="3" s="1"/>
  <c r="AK73" i="3"/>
  <c r="AL73" i="3" s="1"/>
  <c r="AK76" i="3"/>
  <c r="AL76" i="3" s="1"/>
  <c r="AL77" i="3"/>
  <c r="AK78" i="3"/>
  <c r="AL78" i="3" s="1"/>
  <c r="AK79" i="3"/>
  <c r="AL79" i="3" s="1"/>
  <c r="AK80" i="3"/>
  <c r="AL80" i="3" s="1"/>
  <c r="AK81" i="3"/>
  <c r="AL81" i="3" s="1"/>
  <c r="AK83" i="3"/>
  <c r="AL83" i="3" s="1"/>
  <c r="AK84" i="3"/>
  <c r="AL84" i="3" s="1"/>
  <c r="AK85" i="3"/>
  <c r="AL85" i="3" s="1"/>
  <c r="AK87" i="3"/>
  <c r="AL87" i="3" s="1"/>
  <c r="AK89" i="3"/>
  <c r="AL89" i="3" s="1"/>
  <c r="AK90" i="3"/>
  <c r="AL90" i="3" s="1"/>
  <c r="AK92" i="3"/>
  <c r="AL92" i="3" s="1"/>
  <c r="AK94" i="3"/>
  <c r="AL94" i="3" s="1"/>
  <c r="AK95" i="3"/>
  <c r="AL95" i="3" s="1"/>
  <c r="AK96" i="3"/>
  <c r="AL96" i="3" s="1"/>
  <c r="AK97" i="3"/>
  <c r="AL97" i="3" s="1"/>
  <c r="AK98" i="3"/>
  <c r="AL98" i="3" s="1"/>
  <c r="AK91" i="3"/>
  <c r="AL91" i="3" s="1"/>
  <c r="AK99" i="3"/>
  <c r="AL99" i="3" s="1"/>
  <c r="AK100" i="3"/>
  <c r="AL100" i="3" s="1"/>
  <c r="AK104" i="3"/>
  <c r="AL104" i="3" s="1"/>
  <c r="AK105" i="3"/>
  <c r="AL105" i="3" s="1"/>
  <c r="AK106" i="3"/>
  <c r="AL106" i="3" s="1"/>
  <c r="AK107" i="3"/>
  <c r="AL107" i="3" s="1"/>
  <c r="AK108" i="3"/>
  <c r="AL108" i="3" s="1"/>
  <c r="AK109" i="3"/>
  <c r="AL109" i="3" s="1"/>
  <c r="AK110" i="3"/>
  <c r="AL110" i="3" s="1"/>
  <c r="AK112" i="3"/>
  <c r="AL112" i="3" s="1"/>
  <c r="AK113" i="3"/>
  <c r="AL113" i="3" s="1"/>
  <c r="AK114" i="3"/>
  <c r="AL114" i="3" s="1"/>
  <c r="AK115" i="3"/>
  <c r="AL115" i="3" s="1"/>
  <c r="AK116" i="3"/>
  <c r="AL116" i="3" s="1"/>
  <c r="AK119" i="3"/>
  <c r="AL119" i="3" s="1"/>
  <c r="AK125" i="3"/>
  <c r="AL125" i="3" s="1"/>
  <c r="AK126" i="3"/>
  <c r="AL126" i="3" s="1"/>
  <c r="AK127" i="3"/>
  <c r="AL127" i="3" s="1"/>
  <c r="AK2" i="3"/>
  <c r="AL2" i="3" s="1"/>
  <c r="AK3" i="3"/>
  <c r="AL3" i="3" s="1"/>
  <c r="AK4" i="3"/>
  <c r="AL4" i="3" s="1"/>
  <c r="AG111" i="3"/>
  <c r="AD111" i="3"/>
  <c r="AC111" i="3"/>
  <c r="AB111" i="3"/>
  <c r="Y111" i="3"/>
  <c r="AG75" i="3"/>
  <c r="AD75" i="3"/>
  <c r="AC75" i="3"/>
  <c r="AK75" i="3" l="1"/>
  <c r="AL75" i="3" s="1"/>
  <c r="AK111" i="3"/>
  <c r="AL111" i="3" s="1"/>
  <c r="AL157" i="1"/>
  <c r="AC93" i="3" l="1"/>
  <c r="AK93" i="3" s="1"/>
  <c r="AL93" i="3" s="1"/>
  <c r="AF103" i="3"/>
  <c r="AE103" i="3"/>
  <c r="AD103" i="3"/>
  <c r="AC103" i="3"/>
  <c r="AB103" i="3"/>
  <c r="AA103" i="3"/>
  <c r="Y103" i="3"/>
  <c r="X103" i="3"/>
  <c r="AG102" i="3"/>
  <c r="AF102" i="3"/>
  <c r="AD102" i="3"/>
  <c r="AC102" i="3"/>
  <c r="AB102" i="3"/>
  <c r="AA102" i="3"/>
  <c r="Z102" i="3"/>
  <c r="Y102" i="3"/>
  <c r="X102" i="3"/>
  <c r="AD101" i="3"/>
  <c r="AC101" i="3"/>
  <c r="AB101" i="3"/>
  <c r="AK101" i="3" l="1"/>
  <c r="AL101" i="3" s="1"/>
  <c r="AK102" i="3"/>
  <c r="AL102" i="3" s="1"/>
  <c r="AK103" i="3"/>
  <c r="AL103" i="3" s="1"/>
  <c r="AF88" i="3"/>
  <c r="AC88" i="3"/>
  <c r="AK88" i="3" l="1"/>
  <c r="AL88" i="3" s="1"/>
  <c r="AD86" i="3"/>
  <c r="X86" i="3"/>
  <c r="AC86" i="3"/>
  <c r="AK86" i="3" l="1"/>
  <c r="AL86" i="3" s="1"/>
  <c r="AC82" i="3"/>
  <c r="AD82" i="3"/>
  <c r="AE82" i="3"/>
  <c r="AK82" i="3" l="1"/>
  <c r="AL82" i="3" s="1"/>
  <c r="S32" i="3"/>
  <c r="S187" i="3" s="1"/>
  <c r="AL32" i="3" l="1"/>
  <c r="AC52" i="3"/>
  <c r="X52" i="3"/>
  <c r="AK52" i="3" s="1"/>
  <c r="AL52" i="3" s="1"/>
  <c r="Y38" i="3"/>
  <c r="Y39" i="3"/>
  <c r="AB38" i="3"/>
  <c r="AD39" i="3"/>
  <c r="AF38" i="3"/>
  <c r="AC38" i="3"/>
  <c r="AD38" i="3"/>
  <c r="AC43" i="3"/>
  <c r="AK43" i="3" s="1"/>
  <c r="AL43" i="3" s="1"/>
  <c r="AK39" i="3" l="1"/>
  <c r="AL39" i="3" s="1"/>
  <c r="AK38" i="3"/>
  <c r="AL38" i="3" s="1"/>
  <c r="AB27" i="3"/>
  <c r="AC16" i="3"/>
  <c r="AK16" i="3" s="1"/>
  <c r="AG8" i="3" l="1"/>
  <c r="AE8" i="3"/>
  <c r="AD8" i="3"/>
  <c r="AC8" i="3"/>
  <c r="AB8" i="3"/>
  <c r="X8" i="3"/>
  <c r="AC50" i="3"/>
  <c r="X50" i="3"/>
  <c r="AK50" i="3" l="1"/>
  <c r="AL50" i="3" s="1"/>
  <c r="AK8" i="3"/>
  <c r="AL8" i="3" s="1"/>
  <c r="AC40" i="3"/>
  <c r="AF40" i="3"/>
  <c r="AB40" i="3"/>
  <c r="Y40" i="3"/>
  <c r="AD40" i="3"/>
  <c r="AC41" i="3"/>
  <c r="AD41" i="3"/>
  <c r="AJ41" i="3"/>
  <c r="X41" i="3"/>
  <c r="AF41" i="3"/>
  <c r="AB41" i="3"/>
  <c r="AG41" i="3"/>
  <c r="AE41" i="3"/>
  <c r="AA41" i="3"/>
  <c r="Y41" i="3"/>
  <c r="AH42" i="3"/>
  <c r="AD42" i="3"/>
  <c r="AC42" i="3"/>
  <c r="AB42" i="3"/>
  <c r="X42" i="3"/>
  <c r="AF42" i="3"/>
  <c r="AE42" i="3"/>
  <c r="AA42" i="3"/>
  <c r="AK41" i="3" l="1"/>
  <c r="AL41" i="3" s="1"/>
  <c r="AK42" i="3"/>
  <c r="AL42" i="3" s="1"/>
  <c r="AK40" i="3"/>
  <c r="AL40" i="3" s="1"/>
  <c r="X47" i="3"/>
  <c r="AD47" i="3"/>
  <c r="AC47" i="3"/>
  <c r="AF47" i="3"/>
  <c r="AB47" i="3"/>
  <c r="AC49" i="3"/>
  <c r="AG49" i="3"/>
  <c r="AE49" i="3"/>
  <c r="AD49" i="3"/>
  <c r="AG48" i="3"/>
  <c r="AD48" i="3"/>
  <c r="AC48" i="3"/>
  <c r="AD46" i="3"/>
  <c r="AC46" i="3"/>
  <c r="AG29" i="3"/>
  <c r="AD29" i="3"/>
  <c r="AC29" i="3"/>
  <c r="AB29" i="3"/>
  <c r="AA29" i="3"/>
  <c r="X29" i="3"/>
  <c r="AI27" i="3"/>
  <c r="AF27" i="3"/>
  <c r="AE27" i="3"/>
  <c r="AD27" i="3"/>
  <c r="AC27" i="3"/>
  <c r="AK48" i="3" l="1"/>
  <c r="AL48" i="3" s="1"/>
  <c r="AK46" i="3"/>
  <c r="AL46" i="3" s="1"/>
  <c r="AK49" i="3"/>
  <c r="AL49" i="3" s="1"/>
  <c r="AK29" i="3"/>
  <c r="AL29" i="3" s="1"/>
  <c r="AK27" i="3"/>
  <c r="AL27" i="3" s="1"/>
  <c r="AK47" i="3"/>
  <c r="AL47" i="3" s="1"/>
  <c r="AC25" i="3"/>
  <c r="AD25" i="3"/>
  <c r="AK25" i="3" l="1"/>
  <c r="AL25" i="3" s="1"/>
  <c r="AI21" i="3"/>
  <c r="AC21" i="3"/>
  <c r="AK21" i="3" l="1"/>
  <c r="AL21" i="3" s="1"/>
  <c r="AK5" i="3"/>
  <c r="AL5" i="3" s="1"/>
  <c r="S84" i="1"/>
  <c r="AL84" i="1" s="1"/>
  <c r="T38" i="1" l="1"/>
  <c r="AD177" i="1" l="1"/>
  <c r="AC177" i="1"/>
  <c r="AK177" i="1" s="1"/>
  <c r="AL177" i="1" s="1"/>
  <c r="AB175" i="1" l="1"/>
  <c r="AC175" i="1"/>
  <c r="AF175" i="1"/>
  <c r="AG175" i="1"/>
  <c r="AA175" i="1"/>
  <c r="AD175" i="1"/>
  <c r="X175" i="1"/>
  <c r="X173" i="1"/>
  <c r="AK173" i="1" s="1"/>
  <c r="AL173" i="1" s="1"/>
  <c r="AK175" i="1" l="1"/>
  <c r="AL175" i="1" s="1"/>
  <c r="AD169" i="1"/>
  <c r="AK169" i="1" s="1"/>
  <c r="AL169" i="1" s="1"/>
  <c r="AB168" i="1"/>
  <c r="AC168" i="1"/>
  <c r="Y168" i="1"/>
  <c r="AF168" i="1"/>
  <c r="AE168" i="1"/>
  <c r="X168" i="1"/>
  <c r="AA168" i="1"/>
  <c r="AG168" i="1"/>
  <c r="AD168" i="1"/>
  <c r="Z167" i="1"/>
  <c r="AC167" i="1"/>
  <c r="AE167" i="1"/>
  <c r="X167" i="1"/>
  <c r="AA167" i="1"/>
  <c r="AG167" i="1"/>
  <c r="AD167" i="1"/>
  <c r="AB167" i="1"/>
  <c r="AF167" i="1"/>
  <c r="AD164" i="1"/>
  <c r="AK164" i="1" s="1"/>
  <c r="AL164" i="1" s="1"/>
  <c r="AK168" i="1" l="1"/>
  <c r="AL168" i="1" s="1"/>
  <c r="AK167" i="1"/>
  <c r="AL167" i="1" s="1"/>
  <c r="AC157" i="1"/>
  <c r="AC105" i="1"/>
  <c r="X105" i="1"/>
  <c r="AK105" i="1" s="1"/>
  <c r="AC123" i="1"/>
  <c r="S105" i="1"/>
  <c r="X150" i="1"/>
  <c r="AE150" i="1"/>
  <c r="AC150" i="1"/>
  <c r="AI150" i="1"/>
  <c r="S150" i="1"/>
  <c r="AL105" i="1" l="1"/>
  <c r="AK150" i="1"/>
  <c r="AL150" i="1" s="1"/>
  <c r="AB141" i="1"/>
  <c r="AE141" i="1"/>
  <c r="AH141" i="1"/>
  <c r="X141" i="1"/>
  <c r="AA141" i="1"/>
  <c r="AD141" i="1"/>
  <c r="AF141" i="1"/>
  <c r="AG141" i="1"/>
  <c r="AK141" i="1" l="1"/>
  <c r="AL141" i="1" s="1"/>
  <c r="AG142" i="1"/>
  <c r="AC142" i="1"/>
  <c r="AB142" i="1"/>
  <c r="AA142" i="1"/>
  <c r="Y142" i="1"/>
  <c r="AF136" i="1"/>
  <c r="AC136" i="1"/>
  <c r="X136" i="1"/>
  <c r="AK136" i="1" s="1"/>
  <c r="AG123" i="1"/>
  <c r="AD123" i="1"/>
  <c r="AK123" i="1" s="1"/>
  <c r="AL123" i="1" s="1"/>
  <c r="AE113" i="1"/>
  <c r="X113" i="1"/>
  <c r="AB101" i="1"/>
  <c r="AK101" i="1" s="1"/>
  <c r="AL101" i="1" s="1"/>
  <c r="AD20" i="1"/>
  <c r="AK20" i="1" s="1"/>
  <c r="AK142" i="1" l="1"/>
  <c r="AL142" i="1" s="1"/>
  <c r="AK113" i="1"/>
  <c r="AL113" i="1" s="1"/>
  <c r="AI10" i="1"/>
  <c r="AE10" i="1"/>
  <c r="AD10" i="1"/>
  <c r="AC10" i="1"/>
  <c r="X10" i="1"/>
  <c r="AK10" i="1" s="1"/>
  <c r="AL10" i="1" s="1"/>
  <c r="AD15" i="1"/>
  <c r="X15" i="1"/>
  <c r="AK15" i="1" s="1"/>
  <c r="AL15" i="1" s="1"/>
  <c r="S18" i="1"/>
  <c r="AL18" i="1" s="1"/>
  <c r="S16" i="1"/>
  <c r="AL16" i="1" l="1"/>
  <c r="AK2" i="1"/>
  <c r="AL2" i="1" s="1"/>
  <c r="AC104" i="1" l="1"/>
  <c r="AK104" i="1" s="1"/>
  <c r="AL104" i="1" s="1"/>
  <c r="AD103" i="1" l="1"/>
  <c r="AC103" i="1"/>
  <c r="AI103" i="1"/>
  <c r="AH103" i="1"/>
  <c r="Y103" i="1"/>
  <c r="AB103" i="1"/>
  <c r="X103" i="1"/>
  <c r="AF103" i="1"/>
  <c r="AK103" i="1" l="1"/>
  <c r="AL103" i="1" s="1"/>
  <c r="S149" i="1"/>
  <c r="AL149" i="1" s="1"/>
  <c r="AA146" i="1" l="1"/>
  <c r="AD146" i="1"/>
  <c r="AC146" i="1"/>
  <c r="AC144" i="1"/>
  <c r="AK144" i="1" s="1"/>
  <c r="AL144" i="1" s="1"/>
  <c r="S19" i="1"/>
  <c r="AL19" i="1" s="1"/>
  <c r="S20" i="1"/>
  <c r="AL20" i="1" s="1"/>
  <c r="S17" i="1"/>
  <c r="AL17" i="1" l="1"/>
  <c r="AK146" i="1"/>
  <c r="AL146" i="1" s="1"/>
  <c r="AD77" i="1"/>
  <c r="AK77" i="1" s="1"/>
  <c r="AL77" i="1" s="1"/>
  <c r="AG74" i="1"/>
  <c r="AD74" i="1"/>
  <c r="AB74" i="1"/>
  <c r="X74" i="1"/>
  <c r="AK74" i="1" s="1"/>
  <c r="AD72" i="1"/>
  <c r="AB72" i="1"/>
  <c r="AI71" i="1"/>
  <c r="AG71" i="1"/>
  <c r="AD71" i="1"/>
  <c r="AB71" i="1"/>
  <c r="X71" i="1"/>
  <c r="S71" i="1"/>
  <c r="S72" i="1"/>
  <c r="S73" i="1"/>
  <c r="AL73" i="1" s="1"/>
  <c r="S74" i="1"/>
  <c r="S75" i="1"/>
  <c r="AL75" i="1" s="1"/>
  <c r="S76" i="1"/>
  <c r="AL76" i="1" s="1"/>
  <c r="AF139" i="1"/>
  <c r="AD139" i="1"/>
  <c r="AB139" i="1"/>
  <c r="AG138" i="1"/>
  <c r="AF138" i="1"/>
  <c r="AE138" i="1"/>
  <c r="AD138" i="1"/>
  <c r="AA138" i="1"/>
  <c r="Y138" i="1"/>
  <c r="X138" i="1"/>
  <c r="AG137" i="1"/>
  <c r="AD137" i="1"/>
  <c r="AC137" i="1"/>
  <c r="AA137" i="1"/>
  <c r="X137" i="1"/>
  <c r="AG135" i="1"/>
  <c r="AF135" i="1"/>
  <c r="AD135" i="1"/>
  <c r="AB135" i="1"/>
  <c r="Y135" i="1"/>
  <c r="AC134" i="1"/>
  <c r="AK134" i="1" s="1"/>
  <c r="AG133" i="1"/>
  <c r="AF133" i="1"/>
  <c r="AD133" i="1"/>
  <c r="AB133" i="1"/>
  <c r="Y133" i="1"/>
  <c r="AI132" i="1"/>
  <c r="AG132" i="1"/>
  <c r="AF132" i="1"/>
  <c r="AD132" i="1"/>
  <c r="AB132" i="1"/>
  <c r="AA132" i="1"/>
  <c r="Y132" i="1"/>
  <c r="S132" i="1"/>
  <c r="S133" i="1"/>
  <c r="S134" i="1"/>
  <c r="S135" i="1"/>
  <c r="S136" i="1"/>
  <c r="AL136" i="1" s="1"/>
  <c r="S137" i="1"/>
  <c r="S138" i="1"/>
  <c r="S139" i="1"/>
  <c r="AK137" i="1" l="1"/>
  <c r="AL137" i="1" s="1"/>
  <c r="AL74" i="1"/>
  <c r="AK72" i="1"/>
  <c r="AL72" i="1" s="1"/>
  <c r="AK139" i="1"/>
  <c r="AL139" i="1" s="1"/>
  <c r="AK133" i="1"/>
  <c r="AL133" i="1" s="1"/>
  <c r="AK138" i="1"/>
  <c r="AL138" i="1" s="1"/>
  <c r="AL134" i="1"/>
  <c r="AK135" i="1"/>
  <c r="AL135" i="1" s="1"/>
  <c r="AK132" i="1"/>
  <c r="AL132" i="1" s="1"/>
  <c r="AK71" i="1"/>
  <c r="AL71" i="1" s="1"/>
  <c r="S228" i="1"/>
  <c r="AD96" i="1" l="1"/>
  <c r="X96" i="1"/>
  <c r="AG96" i="1"/>
  <c r="AC96" i="1"/>
  <c r="AK96" i="1" l="1"/>
  <c r="AL96" i="1" s="1"/>
  <c r="S52" i="1"/>
  <c r="AL52" i="1" l="1"/>
  <c r="AH122" i="1"/>
  <c r="AD122" i="1"/>
  <c r="AG122" i="1"/>
  <c r="AE122" i="1"/>
  <c r="AK122" i="1" l="1"/>
  <c r="AL122" i="1" s="1"/>
  <c r="AA33" i="1"/>
  <c r="AK33" i="1" s="1"/>
  <c r="AL33" i="1" s="1"/>
  <c r="Z197" i="1" l="1"/>
  <c r="AB197" i="1"/>
  <c r="AJ197" i="1"/>
  <c r="AC127" i="1"/>
  <c r="X127" i="1"/>
  <c r="AD127" i="1"/>
  <c r="AI127" i="1"/>
  <c r="AE127" i="1"/>
  <c r="S64" i="1"/>
  <c r="AD128" i="1"/>
  <c r="AK128" i="1" s="1"/>
  <c r="AL128" i="1" s="1"/>
  <c r="AL64" i="1" l="1"/>
  <c r="S182" i="1"/>
  <c r="AK127" i="1"/>
  <c r="AL127" i="1" s="1"/>
  <c r="X125" i="1"/>
  <c r="AK125" i="1" s="1"/>
  <c r="AL125" i="1" s="1"/>
  <c r="AC88" i="1" l="1"/>
  <c r="AI88" i="1"/>
  <c r="AK88" i="1" l="1"/>
  <c r="AL88" i="1" s="1"/>
  <c r="AG121" i="1"/>
  <c r="AD121" i="1"/>
  <c r="X121" i="1"/>
  <c r="AK121" i="1" s="1"/>
  <c r="AL121" i="1" s="1"/>
  <c r="AH120" i="1"/>
  <c r="AH197" i="1" s="1"/>
  <c r="AG120" i="1"/>
  <c r="AF120" i="1"/>
  <c r="AD120" i="1"/>
  <c r="Y120" i="1"/>
  <c r="X120" i="1"/>
  <c r="AK120" i="1" s="1"/>
  <c r="AL120" i="1" s="1"/>
  <c r="AI197" i="1" l="1"/>
  <c r="AF197" i="1"/>
  <c r="AG197" i="1"/>
  <c r="X112" i="1"/>
  <c r="AA112" i="1"/>
  <c r="AA197" i="1" s="1"/>
  <c r="AD112" i="1"/>
  <c r="AK112" i="1" l="1"/>
  <c r="AL112" i="1" s="1"/>
  <c r="Y27" i="1"/>
  <c r="AC27" i="1"/>
  <c r="AE27" i="1"/>
  <c r="AE197" i="1" s="1"/>
  <c r="AD49" i="1"/>
  <c r="X49" i="1"/>
  <c r="AC49" i="1"/>
  <c r="AD51" i="1"/>
  <c r="AC51" i="1"/>
  <c r="AK51" i="1" s="1"/>
  <c r="AL51" i="1" s="1"/>
  <c r="AK49" i="1" l="1"/>
  <c r="AL49" i="1" s="1"/>
  <c r="AK27" i="1"/>
  <c r="AL27" i="1" s="1"/>
  <c r="AD197" i="1"/>
  <c r="X197" i="1"/>
  <c r="Y197" i="1"/>
</calcChain>
</file>

<file path=xl/sharedStrings.xml><?xml version="1.0" encoding="utf-8"?>
<sst xmlns="http://schemas.openxmlformats.org/spreadsheetml/2006/main" count="5921" uniqueCount="1266">
  <si>
    <t>Boston Sci</t>
  </si>
  <si>
    <t>ACH</t>
  </si>
  <si>
    <t>CVIR</t>
  </si>
  <si>
    <t>January</t>
  </si>
  <si>
    <t>Penumbra</t>
  </si>
  <si>
    <t>Credit Memo</t>
  </si>
  <si>
    <t>Peripheral Intervention 2023 - Semi-Annual Rebate</t>
  </si>
  <si>
    <t>ACH - 2008527522</t>
  </si>
  <si>
    <t>February</t>
  </si>
  <si>
    <t>ACH - 2008527523</t>
  </si>
  <si>
    <t>Edwards Lifesciences</t>
  </si>
  <si>
    <t xml:space="preserve">ACH - 000000000369493 </t>
  </si>
  <si>
    <t>Eluvia Rebate Semi Annual 2023</t>
  </si>
  <si>
    <t>Q3 2022 Urology - Womens Health/ 2022 Interventional Cardiology DES Rebate</t>
  </si>
  <si>
    <t>Johnson &amp; Johnson</t>
  </si>
  <si>
    <t xml:space="preserve">2024 Quarterly Watchman Rebate </t>
  </si>
  <si>
    <t>March</t>
  </si>
  <si>
    <t>Medtronic</t>
  </si>
  <si>
    <t>Q4 2023 Medtronic Ex C Rebate Program CBT Unit Target (10/28/23-1/26/24)</t>
  </si>
  <si>
    <t>Check</t>
  </si>
  <si>
    <t>2023 Medtronic - Ex G Rebate Program ABRE (10/28/23-1/26/24)</t>
  </si>
  <si>
    <t xml:space="preserve">TAVR Sentinel Semi-Annual Rebate </t>
  </si>
  <si>
    <t>$1500 (x9)Special Bulk Rebate Payments (Total = $13,500)</t>
  </si>
  <si>
    <t>Annual Watchman Rebate Program (12.1.23 - 2.29.24)</t>
  </si>
  <si>
    <t>April</t>
  </si>
  <si>
    <t>Semi-Annual Core Peripheral Rebate (9.1.23 - 2.29.24)</t>
  </si>
  <si>
    <t>Electrophysiology-Access Solutions Rebate (11.1.23-1.31.24)</t>
  </si>
  <si>
    <t>Yes</t>
  </si>
  <si>
    <t>Q1 2024 - Ex B Azure XT Rebate Program</t>
  </si>
  <si>
    <t>May</t>
  </si>
  <si>
    <t>Abbott</t>
  </si>
  <si>
    <t>June</t>
  </si>
  <si>
    <t>Boston Scientific WATCHMAN Corporate Incentive Program (2.1.24 - 4.30.24)</t>
  </si>
  <si>
    <t>CRM (1.1.24 - 3.31.24)</t>
  </si>
  <si>
    <t>CRM (4.1.23 - 3.31.24)</t>
  </si>
  <si>
    <t>July</t>
  </si>
  <si>
    <t>Watchman (3.1.24 - 5.31.24)</t>
  </si>
  <si>
    <t>Electrophysiology-Access Solutions Rebate (2.1.24 - 4.30.24)</t>
  </si>
  <si>
    <t>August</t>
  </si>
  <si>
    <t xml:space="preserve">C45257 Mt Sinai Hospital Credit memo Q2'24 </t>
  </si>
  <si>
    <t>Q2 2024 SH BL Rebate - 8396 - Talisman PFO</t>
  </si>
  <si>
    <t>Rebate 1: Quarterly MCS rebate of 2% (4%) on pumps 6 through 7 (8 and above)</t>
  </si>
  <si>
    <t>Check # 03190639</t>
  </si>
  <si>
    <t>TAVR Rebate</t>
  </si>
  <si>
    <t>MER Agreement (July 2023 - Dec 2023)</t>
  </si>
  <si>
    <t>Vendor</t>
  </si>
  <si>
    <t>Manufacturer</t>
  </si>
  <si>
    <t>Description</t>
  </si>
  <si>
    <t>Form of Payment</t>
  </si>
  <si>
    <t>Check or transfer  Date</t>
  </si>
  <si>
    <t>Value Analysis Team Responsible</t>
  </si>
  <si>
    <t>Total Rebate</t>
  </si>
  <si>
    <t>Month Reported to Finance</t>
  </si>
  <si>
    <t>Entered into Valio</t>
  </si>
  <si>
    <t>MSW</t>
  </si>
  <si>
    <t>MSQ</t>
  </si>
  <si>
    <t>MSB</t>
  </si>
  <si>
    <t>MSSN</t>
  </si>
  <si>
    <t>ISOM</t>
  </si>
  <si>
    <t>BIMC</t>
  </si>
  <si>
    <t>Rivington</t>
  </si>
  <si>
    <t>Doctors</t>
  </si>
  <si>
    <t>MSH/East</t>
  </si>
  <si>
    <t>MSM</t>
  </si>
  <si>
    <t>MSUS</t>
  </si>
  <si>
    <t>NYEEI</t>
  </si>
  <si>
    <t>Blavatnik</t>
  </si>
  <si>
    <t>September</t>
  </si>
  <si>
    <t>BP-DES - Synergy (excluding Megatron &amp; XD48) 8.1.23-1.31.24</t>
  </si>
  <si>
    <t>BP-DES - Megatron &amp; XD48 8.1.23-1.31.24</t>
  </si>
  <si>
    <t>PP-DES - Promus Premier &amp; Elite 8.1.23-1.31.24</t>
  </si>
  <si>
    <t>ACH #2008605546</t>
  </si>
  <si>
    <t>ACH# 2008562045</t>
  </si>
  <si>
    <t>ACH #2008562044</t>
  </si>
  <si>
    <t>Q4 2023 CRM Rebate - 10.1.23 - 12.31.23</t>
  </si>
  <si>
    <t>Q4 2023 ICM Rebate - 10.1.23 - 12.31.23</t>
  </si>
  <si>
    <t xml:space="preserve">ACH# 2008533594 </t>
  </si>
  <si>
    <t>ACH # 2008562046</t>
  </si>
  <si>
    <t>Credit Memo - Navitor Rebate Q4 2023</t>
  </si>
  <si>
    <t>Credit Memo - Navitor Rebate Q1 2024</t>
  </si>
  <si>
    <t>GE Healthcare</t>
  </si>
  <si>
    <t>Q1 2024 - Quarterly Achieved Rebate - MSM only</t>
  </si>
  <si>
    <t>TAVR Rebate 2023</t>
  </si>
  <si>
    <t>Semi-Annual MER Rebate Payment for Neuroscience (1.1.2024-6.30/2024) plus the annual true-up (7.1.2023-12/31/2023) $458,657 ($240,851.35)</t>
  </si>
  <si>
    <t>Semi-Annual MER Rebate Payment for Neuroscience (1.1.2024-6.30/2024) plus the annual true-up (7.1.2023-12/31/2023) $458,657 ($217,799.17)</t>
  </si>
  <si>
    <t>2023 Semi-Annual Medtronic CRHF Rebate ($16,688.14)</t>
  </si>
  <si>
    <t>Notes</t>
  </si>
  <si>
    <t xml:space="preserve">Q2 2024 SH LAA Rebate - 8398 </t>
  </si>
  <si>
    <t>ACH #2008637631</t>
  </si>
  <si>
    <t>ACH# 2008550183</t>
  </si>
  <si>
    <t>ACH #2008534954</t>
  </si>
  <si>
    <t>Urology - Women's Health Rebate (7.1.22 - 9.30.22)</t>
  </si>
  <si>
    <t>BVA</t>
  </si>
  <si>
    <t>Rebate</t>
  </si>
  <si>
    <t>Q2 2024 (May-June) MCS - Chronic HeartMate3 Rebate 2: Quarterly HFM rebate of 2% if BL 15 units is met. Measured in aggregate. Rebate on HM3 (106524US) only.</t>
  </si>
  <si>
    <t xml:space="preserve">Q1 2024 - Smart Coils Rebate </t>
  </si>
  <si>
    <t>Zimmer</t>
  </si>
  <si>
    <t xml:space="preserve">Tether Rebate from 2021 to 2023 </t>
  </si>
  <si>
    <t>PeriOp</t>
  </si>
  <si>
    <t>Bristol Meyers Sqibb</t>
  </si>
  <si>
    <t>Bristol Meyers Squibb</t>
  </si>
  <si>
    <t>Med Surg</t>
  </si>
  <si>
    <t>Refund</t>
  </si>
  <si>
    <t>Tronex</t>
  </si>
  <si>
    <t>Q4 2023 Tronex Gown Program Rebate</t>
  </si>
  <si>
    <t>Allergan</t>
  </si>
  <si>
    <t xml:space="preserve">2023 Annual Rebate </t>
  </si>
  <si>
    <t>Medline</t>
  </si>
  <si>
    <t>BD</t>
  </si>
  <si>
    <t>2023 Annual Strategic Collaboration Rebate (4052.27661C)</t>
  </si>
  <si>
    <t>2023 Q4 Cerenovus Rebate</t>
  </si>
  <si>
    <t>KCI</t>
  </si>
  <si>
    <t>Q4 2023 3M/KCI Mt. Sinai Rental Budget Maintenance Rebate</t>
  </si>
  <si>
    <t xml:space="preserve">2023 Medtronic R2C: All Product Credit (9/1 - 11/30) </t>
  </si>
  <si>
    <t>Rightsourcing</t>
  </si>
  <si>
    <t>Q4 2023 Rightsourcing Rebate</t>
  </si>
  <si>
    <t>Stryker Sustainability Solutions</t>
  </si>
  <si>
    <t>Stryker</t>
  </si>
  <si>
    <t>Q4 2023 PPP Rebate</t>
  </si>
  <si>
    <t>Proctor &amp; Gamble</t>
  </si>
  <si>
    <t xml:space="preserve">South Nassau Incentive Rebate </t>
  </si>
  <si>
    <t>Derive Technologies</t>
  </si>
  <si>
    <t xml:space="preserve">Q1 2024 - Quarterly Mobile Cart Rebate </t>
  </si>
  <si>
    <t>Solventum (formerly 3M)</t>
  </si>
  <si>
    <t>Solventum</t>
  </si>
  <si>
    <t xml:space="preserve">Mt. Sinai Rental Budget Agreement Maintenance Rebate 2024-Q1  </t>
  </si>
  <si>
    <t>2024 Customer Resource Rebate (split in 2 payments from Q4-23 and Q1-24)</t>
  </si>
  <si>
    <t>Bard Peripheral Vascular, Inc.</t>
  </si>
  <si>
    <t>Procedure Tray and Needles Volume Rebate - Premier (2.1.23-1.31.24)</t>
  </si>
  <si>
    <t>Procedure Tray Volume Rebate  - Premier (1.1.23-12.31.23)</t>
  </si>
  <si>
    <t xml:space="preserve">May </t>
  </si>
  <si>
    <t>Intuitive Surgical</t>
  </si>
  <si>
    <t>Rebate 06192024</t>
  </si>
  <si>
    <t>Ex B Azure XT Rebate Program (4.1.24 - 6.30.24)</t>
  </si>
  <si>
    <t>DBS - Neuroscience Rebate - St. Lukes (1.27.24 - 4.26.24)</t>
  </si>
  <si>
    <t>Periop</t>
  </si>
  <si>
    <t>Ex G Rebate Program ABRE (1.27.24 - 4.26.24)</t>
  </si>
  <si>
    <t>Neuroscience BMP Rebate (1.27.24 - 4.26.24)</t>
  </si>
  <si>
    <t>Credit Accrual: 7/1/2019 - 05/31/2024</t>
  </si>
  <si>
    <t>Karl Storz</t>
  </si>
  <si>
    <t>Invoice Credit (MSQ) Risk Share</t>
  </si>
  <si>
    <t>Rebate Payment(s) for Enterprise Initiatives Agreement w/ B.Braun, BIS, AIC, AIS, CAPS (8/1/2020 - 7/31/2021)</t>
  </si>
  <si>
    <t>Rightsourcing Rebate - Q1-2024</t>
  </si>
  <si>
    <t>Check #0445775</t>
  </si>
  <si>
    <t>Strategic Collaboration Rebate (Jan 2024 - June 2024)</t>
  </si>
  <si>
    <t>Unit Rebate - Year 1 - Prod. Cat. Wingsets (June 2023 - May 2024)</t>
  </si>
  <si>
    <t>Dale Medical</t>
  </si>
  <si>
    <t>Annual Growth Rebate (May 2023 - April 2024)</t>
  </si>
  <si>
    <t>Check #029508</t>
  </si>
  <si>
    <t>Veyer</t>
  </si>
  <si>
    <t>Acurity Annual Rebate</t>
  </si>
  <si>
    <t>Check #8021440</t>
  </si>
  <si>
    <t>Office Depot</t>
  </si>
  <si>
    <t>Terumo</t>
  </si>
  <si>
    <t>Loyalty Rebate: 2% of total sales (2/27/23-2/26/24)</t>
  </si>
  <si>
    <t>Hydropearl Rebate: $25 per unit  (2/27/23-2/26/24)</t>
  </si>
  <si>
    <t>Cerenovous</t>
  </si>
  <si>
    <t>Johnson &amp; Johnson Health Care Systems Inc. (JJHCS) Spine Rebate Agreement effective 4/1/2019 - 3/31/2024</t>
  </si>
  <si>
    <t xml:space="preserve">Q1 CRM ICM Rebate </t>
  </si>
  <si>
    <t>Ex G Rebate Program ABRE - 4/27/2024 to 7/26/2024</t>
  </si>
  <si>
    <t>Ex C Rebate Program CBT Unit Target -Structural Heart - Rebate(ZCMP) - 4/27/2024 to 7/26/2024</t>
  </si>
  <si>
    <t>Total</t>
  </si>
  <si>
    <t>Difference</t>
  </si>
  <si>
    <t>Boston Scientific CRM Corporate Incentive Program 4.1.2024-6.30.24</t>
  </si>
  <si>
    <t>Electrophysiology Agreement Rebate 5.1.24-7.31.24</t>
  </si>
  <si>
    <t>Department</t>
  </si>
  <si>
    <t>EP</t>
  </si>
  <si>
    <t>Urology</t>
  </si>
  <si>
    <t>Cath Lab</t>
  </si>
  <si>
    <t>Cath Lab/EP</t>
  </si>
  <si>
    <t>ACH #2008670627</t>
  </si>
  <si>
    <t>Rebate #</t>
  </si>
  <si>
    <t>WATCHMAN (6.1.24 - 8.31.24)</t>
  </si>
  <si>
    <t>ACH #2008667571</t>
  </si>
  <si>
    <t xml:space="preserve">GE Healthcare </t>
  </si>
  <si>
    <t>ERS-SVC  Biomed/Imaging Rebate Q1 2024</t>
  </si>
  <si>
    <t>ERS-SVC  Biomed/Imaging Rebate Q2 2024</t>
  </si>
  <si>
    <t>ERS-SVC  Biomed/Imaging Rebate Q4 2023</t>
  </si>
  <si>
    <t>ACH# 2008667569</t>
  </si>
  <si>
    <t>Coronary Balloons Rebate (2.1.24-7.31.24)</t>
  </si>
  <si>
    <t>ACH# 2008667570</t>
  </si>
  <si>
    <t>2024 Facility Totals:</t>
  </si>
  <si>
    <t>Q2-2024 3% Net Sales Rebate 4.1.24-6.30.24</t>
  </si>
  <si>
    <t xml:space="preserve">Q2 2024 - Quarterly Mobile Cart Rebate </t>
  </si>
  <si>
    <t>Check# 1126725</t>
  </si>
  <si>
    <t>Bbraun</t>
  </si>
  <si>
    <t>2022 True-Up - 27,461 Missing Lines (10.1.21-9.30.22)</t>
  </si>
  <si>
    <t xml:space="preserve">IV Therapies 20% Rebate </t>
  </si>
  <si>
    <t>Check #3526447</t>
  </si>
  <si>
    <t>Q2 2024 Employee Reimbursement/ Prog Mgmt</t>
  </si>
  <si>
    <t xml:space="preserve">Rightsourcing Rebate ($150,000/4 payments) Q1-2024 </t>
  </si>
  <si>
    <t>October</t>
  </si>
  <si>
    <t>Core Interventional Cardiology Rebate (3.1.24-8.31.24)</t>
  </si>
  <si>
    <t>Neuroscience BMP Rebate (4.27.24 - 7.26.24)</t>
  </si>
  <si>
    <t>Q2 2024 Rebate - Customer Resources Rebate</t>
  </si>
  <si>
    <t>Q2 2024 Rebate - .33% All Sales Rebate</t>
  </si>
  <si>
    <t>Q2 2024 Rebate - 5% Non-SPT Medline Rebate</t>
  </si>
  <si>
    <t>Q2 2024 Rebate - 2% SPT Medline Rebate</t>
  </si>
  <si>
    <t>Q2 2024 Rebate - 5% Growth Rebate</t>
  </si>
  <si>
    <t>Q2 2024 Rebate - $0.11 Underpad Rebate</t>
  </si>
  <si>
    <t>Q2 2024 Rebate - $1.59 Underpad Rebate</t>
  </si>
  <si>
    <t>Q2 2024 Rebate - 33.06% Vacutainer Rebate</t>
  </si>
  <si>
    <t xml:space="preserve">Q2 2024 Rebate - 5% Exam Glove Rebate </t>
  </si>
  <si>
    <t>Q1 2024 Rebate - .33% All Sales Rebate</t>
  </si>
  <si>
    <t>Q1 2024 Rebate - 5% Non-SPT Medline Rebate</t>
  </si>
  <si>
    <t>Q1 2024 Rebate - 2% SPT Medline Rebate</t>
  </si>
  <si>
    <t>Q1 2024 Rebate - 5% Growth Rebate</t>
  </si>
  <si>
    <t>Q1 2024 Rebate - $1.59 Underpad Rebate</t>
  </si>
  <si>
    <t>Q1 2024 Rebate - 33.06% Vacutainer Rebate</t>
  </si>
  <si>
    <t xml:space="preserve">Q1 2024 Rebate - 10% Exam Glove Rebate </t>
  </si>
  <si>
    <t>Q4 2023 Rebate - 5% Non-SPT Medline Rebate</t>
  </si>
  <si>
    <t>Q4 2023 Rebate - 2% SPT Medline Rebate</t>
  </si>
  <si>
    <t>Q4 2023 Rebate - $1.59 Underpad Rebate</t>
  </si>
  <si>
    <t>Q4 2023 Rebate - 33.06% Vacutainer Rebate</t>
  </si>
  <si>
    <t xml:space="preserve">Q4 2023 Rebate - 10% Exam Glove Rebate </t>
  </si>
  <si>
    <t>ACH #2008667660</t>
  </si>
  <si>
    <t>Core Peripheral Inervention Rebate (3.1.24-8.31.24) TheraSphere @ 3% Rebate</t>
  </si>
  <si>
    <t>Core Peripheral Inervention Rebate (3.1.24-8.31.24) CryoAblation/Etc. @ 9% Rebate</t>
  </si>
  <si>
    <t>Core Peripheral Inervention Rebate (3.1.24-8.31.24) Coils @ $ Back Rebate Per/Unit</t>
  </si>
  <si>
    <t>ACH #2008667659</t>
  </si>
  <si>
    <t>Q1 2024 Mt Sinai Entities SH Amulet LAA Rebate (9301255950 &amp; 9301255946)</t>
  </si>
  <si>
    <t>Q1 2024 SH Amplatizer Rebate B: Qtr SH rebate of 3% (or 5%) if BL of 21 (or 25) units in aggregate on Amplatzer Talisman PFO. (9301255947)</t>
  </si>
  <si>
    <t>Q1 2024 SH LAA - 8399 Rebate D: Qtr rebate of $500/$1000 if min of 16 MCG40100 (MitraClip G4) and/or min 21 Amplatzer Talisman if 1000010615 achieves. Facilities 100010615 &amp; 1000010621 achieve rebate. (9301255949 &amp; 9301255948)</t>
  </si>
  <si>
    <t>Q1 MITRACLIP Rebate (Jan-Mar 2024) (9301265757)</t>
  </si>
  <si>
    <t>Q2 2024 - TEER Recon TriClip G4 System Rebate (4/1/2024 - 6/30/2024) (9301331562)</t>
  </si>
  <si>
    <t>Q2 2024 Mt Sinai Entities SH Amulet LAA Rebate (9301302737 &amp; 9301302736)</t>
  </si>
  <si>
    <t>Q2 MITRACLIP Rebate (Apr-Jun 2024) (9301307724)</t>
  </si>
  <si>
    <t>Structural Heart - Evolut Rebate @ 4.55%  (FY24Q2 - 07.29.2023-10.27.23)</t>
  </si>
  <si>
    <t xml:space="preserve">Q3 2024 - Quarterly Mobile Cart Rebate </t>
  </si>
  <si>
    <t>Electrophysiology Agreement Rebate 3.1.24-6.30.24</t>
  </si>
  <si>
    <t>ZimVie (Now Highridge)</t>
  </si>
  <si>
    <t xml:space="preserve">U11-U14 in October Savings. </t>
  </si>
  <si>
    <t>Not in November Rebates</t>
  </si>
  <si>
    <t>November</t>
  </si>
  <si>
    <t>Electrophysiology Agreement Rebate 7.1.24-9.30.24</t>
  </si>
  <si>
    <t>Ambu</t>
  </si>
  <si>
    <t>Rebate 2: Quarterly HFM rebate of 2% if BL 15 units is met. Measured in aggregate. Rebate on HM3 (106524US) only</t>
  </si>
  <si>
    <t>Clorox</t>
  </si>
  <si>
    <t>Rebate C: Quarterly rebate net to price $15,000 if min of 10 Amulet LAA purchased in aggregate (1000010615 &amp; 1000010621).</t>
  </si>
  <si>
    <t>Q2 2024 - HFM rebate of 2%/4% if BL 12/16 units is met respectively. Measured in Aggregate. Net of Rebates.</t>
  </si>
  <si>
    <t>Q3 2024 - HFM rebate of 2%/4% if BL 12/16 units is met respectively. Measured in Aggregate. Net of Rebates.</t>
  </si>
  <si>
    <t>Mt Sinai Hospital OAS Credit memo Q3'24</t>
  </si>
  <si>
    <t xml:space="preserve">2024 Q3 TAVR REBATE            </t>
  </si>
  <si>
    <t xml:space="preserve">ACH </t>
  </si>
  <si>
    <t>Received</t>
  </si>
  <si>
    <t>Minimum of 5% growth in Net Sales = 10% incentive on incremental Net Sales growth</t>
  </si>
  <si>
    <t>Check #03200963</t>
  </si>
  <si>
    <t xml:space="preserve">Q3 2024 (July-September ) MCS - Chronic HeartMate3 Rebate 1: Quarterly MCS rebate of 2% (4%) on pumps 6 through 7 (8 and above) respectively is met. Qualifying HM3 Is defined as part number 106524US. Measured in aggregate. </t>
  </si>
  <si>
    <t>Pro Unlimited</t>
  </si>
  <si>
    <t>Check/Wire Total</t>
  </si>
  <si>
    <t>MSHS EMP REIMB PTD 083122 / MSHS PROG MNGMT PTD0822</t>
  </si>
  <si>
    <t>Check #0466245</t>
  </si>
  <si>
    <t>BBraun</t>
  </si>
  <si>
    <t>Aesculap</t>
  </si>
  <si>
    <t>Check #0466249</t>
  </si>
  <si>
    <t xml:space="preserve">Rebate Payment for Enterprise Initiatives Agreement with B. BRAUN MEDICAL INC. ("B.Braun"), AESCULAP, INC. ("AIC"), AESCULAP IMPLANT SYSTEMS, LLC ("AIS"), B. BRAUN INTERVENTIONAL SYSTEMS INC. ("BIS") and CENTRAL ADMIXTURE PHARMACY SERVICES, INC. ("CAPS") </t>
  </si>
  <si>
    <t>Check #173232 ($12571.54) &amp; 
Check #238185 ($407.62)</t>
  </si>
  <si>
    <t>Sent Lonny Wollman an email 11.22</t>
  </si>
  <si>
    <t>Pending / Rebate Not Received</t>
  </si>
  <si>
    <t>Check #3527335 ($145,000) &amp; 
Check #3530810 ($5,000)</t>
  </si>
  <si>
    <t>Q3 2024 Rebate for Program Spend ($220,401) Liasion Rebate ($37,500) 2024 Quarterly Rebate ($875,000)</t>
  </si>
  <si>
    <t>Rebate composed of 3 components. $875K 2024 Quarterly Rebate (MSH Only)
$37,500 Liason Rebate (MSH Only)
$220,401 Rebate for Spend</t>
  </si>
  <si>
    <t>EP Farapulse Rebate ($2000 each x 373) - 2.1.24-5.31.24</t>
  </si>
  <si>
    <t>EP Farapulse Rebate ($2000 each x 330) - 6.1.24-8.31.24</t>
  </si>
  <si>
    <t>Peripheral Interventions Corporate Incentives Rebate 8.1.24-10.31.24</t>
  </si>
  <si>
    <t>Q3 2024 Rebate - 5% Non-SPT Medline Rebate</t>
  </si>
  <si>
    <t>Q3 2024 Rebate - 2% SPT Medline Rebate</t>
  </si>
  <si>
    <t>Q3 2024 Rebate - 5% Growth Rebate</t>
  </si>
  <si>
    <t>Q3 2024 Rebate - $1.59 Underpad Rebate</t>
  </si>
  <si>
    <t>Q3 2024 Rebate - 33.06% Vacutainer Rebate</t>
  </si>
  <si>
    <t>ACH #2008682667</t>
  </si>
  <si>
    <t xml:space="preserve">Q3 2024 Rebate - 5% Exam Glove Rebate </t>
  </si>
  <si>
    <t>December</t>
  </si>
  <si>
    <t>Employee Rebate (No Breakdown)</t>
  </si>
  <si>
    <t>7% - Mt. Sinai Rental Budget Agreement Maintenance Rebate 2024-Q4 (10.1.24 - 12.31.24)</t>
  </si>
  <si>
    <t>MedSurg</t>
  </si>
  <si>
    <t>Tether Rebate for Q1 2024 through Q3 2024</t>
  </si>
  <si>
    <t>Coloplast</t>
  </si>
  <si>
    <t>Cardiac Rhythm Management Corporate Incentive Program</t>
  </si>
  <si>
    <t>Contract #</t>
  </si>
  <si>
    <t>YES</t>
  </si>
  <si>
    <t>4052.3522C</t>
  </si>
  <si>
    <t>4052.13729C</t>
  </si>
  <si>
    <t>4052.5736C</t>
  </si>
  <si>
    <t>Annual BMS NULOJIX Rebate</t>
  </si>
  <si>
    <t>Electrophysiology Corporate Incentive Program (9.1.24-11.30.24) - Farapulse</t>
  </si>
  <si>
    <t>4052.31156C</t>
  </si>
  <si>
    <t>(ID#:2) Family rebate (years 1-3)</t>
  </si>
  <si>
    <t>4052.16395C</t>
  </si>
  <si>
    <t>Annual</t>
  </si>
  <si>
    <t>ACTIVE</t>
  </si>
  <si>
    <t>Periop (MSHS)</t>
  </si>
  <si>
    <t>ANNUAL COVIDIEN REVENUE-BASED REBATE PROGRAM
 * Rebate Period: Annually from the Effective Date
 * Rebated Products: All Covidien products under specified Product Categories
REBATE TIERS AND REQUIREMENTS:
Contract Year 1, 2, and 3:
 * $13,500,000 - $14,999,999 Overall Revenue: All Product Rebate Percentage: 5.00% | Growth Rebate Percentage: 5.00%
 * $15,000,000 - $17,999,999 Overall Revenue: All Product Rebate Percentage: 7.00% | Growth Rebate Percentage: 5.00%
 * $18,000,000 or greater Overall Revenue: All Product Rebate Percentage: 8.00% | Growth Rebate Percentage: 5.00%
Contract Year 4 and 5:
 * $13,500,000 - $14,999,999 Overall Revenue: All Product Rebate Percentage: 3.00% | Growth Rebate Percentage: 5.00%
 * $15,000,000 - $17,999,999 Overall Revenue: All Product Rebate Percentage: 5.00% | Growth Rebate Percentage: 5.00%
 * $18,000,000 or greater Overall Revenue: All Product Rebate Percentage: 6.00% | Growth Rebate Percentage: 5.00%</t>
  </si>
  <si>
    <t>(ID#:7) Product Sale Agmt. (Reveal LINQ Systems) w/ Rebate</t>
  </si>
  <si>
    <t>4052.2951C</t>
  </si>
  <si>
    <t>Quarterly</t>
  </si>
  <si>
    <t>CVIR (MSHS)</t>
  </si>
  <si>
    <t>QUARTERLY MEDTRONIC DIAGNOSTIC &amp; MONITORING REBATE PROGRAM
 * Rebate Period: Quarterly from the Effective Date
 * Rebated Products: Reveal LINQ™, Reveal LINQ™ System, Reveal LINQ II™, Reveal LINQ II™ System
REBATE TIERS AND REQUIREMENTS:
Tier 1:
 * Applicable Products: Reveal LINQ™ System, Reveal LINQ II™, Reveal LINQ II™ System
 * Rebate Target: 250 Units or Medtronic Market Share &gt; 80%
 * Target Measured By: Net Unit Purchases
 * Rebate per Unit: $400 for Reveal LINQ™ System, $200 for Reveal LINQ II™ and Reveal LINQ II™ System
Tier 2:
 * Applicable Products: Reveal LINQ™ System, Reveal LINQ II™, Reveal LINQ II™ System
 * Rebate Target: 280 Units or Medtronic Market Share &gt; 90%
 * Target Measured By: Net Unit Purchases
 * Rebate per Unit: $600 for Reveal LINQ™ System, $400 for Reveal LINQ II™ and Reveal LINQ II™ System</t>
  </si>
  <si>
    <t>(ID#:10) DBS rebate</t>
  </si>
  <si>
    <t>4052.8505C</t>
  </si>
  <si>
    <t>QUARTERLY MEDTRONIC NEUROMODULATION REBATE PROGRAM
 * Rebate Period: Quarterly from the Effective Date
 * Rebated Products: Deep Brain Stimulation (DBS) Products
 * $500,000 - $624,999: Rebate Percentage: 4.5%
 * $625,000+: Rebate Percentage: 6.5%</t>
  </si>
  <si>
    <t>(ID#:11) Advanced Energy Annual Rebate</t>
  </si>
  <si>
    <t>4052.30646C</t>
  </si>
  <si>
    <t>ANNUAL MEDTRONIC ADVANCED ENERGY PRODUCTS REBATE PROGRAM
 * Rebate Period: Annually from the Effective Date
 * Rebated Products: Advanced Energy Products
REBATE TIERS AND REQUIREMENTS:
Annual Minimum Purchase: $1,244,540
Rebate Percentage: 2.0%</t>
  </si>
  <si>
    <t>(ID#:12) Catheter Based Therapies (CBT) and Rebate</t>
  </si>
  <si>
    <t>4052.4129C</t>
  </si>
  <si>
    <t>Quarterly Transcatheter Aortic Valve rebate * Tier 1: $1,750 per unit credit | 40% compliance requirement
 * Tier 2: $2,250 per unit credit | 40% compliance requirement</t>
  </si>
  <si>
    <t>(ID#:14) Neuromodulation and Surgical Tech Products: Kyphon &amp; BMP rebates</t>
  </si>
  <si>
    <t>Annual rebate
 * BMP Rebate: 10% | Min: $850,000
 *  Kyphoplasty balloons: 6.25% | Min: $144,000</t>
  </si>
  <si>
    <t>(ID#:17) PERIPHERAL - ABRE Products - Rebate #2</t>
  </si>
  <si>
    <t>4052.4507C</t>
  </si>
  <si>
    <t>Quarterly $225 rebate per unit (Interventional - ABRE Products | Requires minimum of 45 units purchased</t>
  </si>
  <si>
    <t>(ID#:18) PERIPHERAL - Rebate #1</t>
  </si>
  <si>
    <t>EXPIRED</t>
  </si>
  <si>
    <t>2 rebates annual rebates
 1. Drug Coated Balloons: 2.5% rebate
 2. Peripheral products (not including drug-coated balloons): 10% rebate
$8.8M requirement in Drug coated balloons &amp; Peripheral products (not including drug-coated balloons)</t>
  </si>
  <si>
    <t xml:space="preserve">(ID#:23) TruClear All Product Rebate Agreement </t>
  </si>
  <si>
    <t>4052.32397C</t>
  </si>
  <si>
    <t>ANNUAL MEDTRONIC TRUCLEAR SYSTEM REBATE PROGRAM
Rebate Period: Annually from the Effective Date
Rebated Products: Hysteroscopic tissue removal system products listed in Exhibit A
All Product Rebate:
 * Contract Years 2, 3, and 4: * Minimum Aggregate Net Purchases: $1,200,000.00
    * Rebate Percentage: 17% of Net Purchases
New Business Rebate:
 * Contract Year 1: * Minimum Aggregate Net Purchases: $1,200,000.00
    * Rebate Percentage: 20% of the amount by which Net Purchases exceed Pre-Participation Net Purchases</t>
  </si>
  <si>
    <t>Molnlycke</t>
  </si>
  <si>
    <t>(ID#:29) Incision Management</t>
  </si>
  <si>
    <t>4052.15409C</t>
  </si>
  <si>
    <t>Med-surg (MSHS)</t>
  </si>
  <si>
    <t>Annual rebate
 * Incision Management dressings: 2% rebate | $400K min | 80% compliance in Advanced wound care
 * Advanced wound care | 3% rebate | $400K min | 80% compliance in Advanced wound care
 * Rebate goes to 3% if also 80% compliant to surgical glove category</t>
  </si>
  <si>
    <t>(ID#:30) Retention Rebate</t>
  </si>
  <si>
    <t>Category management (MSHS)</t>
  </si>
  <si>
    <t>Annual 1.2% rebate | Max rebate is $1,250,000.00 | Min spend: $8M</t>
  </si>
  <si>
    <t>(ID#:32) Supplier Managed Services Agmt for Premium Labor w/ Rebate</t>
  </si>
  <si>
    <t>4052.8154C</t>
  </si>
  <si>
    <t>Contracting (MSHS)</t>
  </si>
  <si>
    <t>QUARTERLY RIGHTSOURCING REBATE
Rebated Services: Staff Augmentation using WAND VMS Technology
Rebate Details:
 * Rebate Percentage: 0.25% of staff augmentation spend (excluding expense reimbursements and background check fees).
 * Example Calculation: Spend $6,000,000 quarterly = $15,000 rebate.
Conditions:
 * Client must use WAND VMS Technology while RightSourcing is the MSP.
 * Rebates are calculated and approved quarterly.
Program Liaison:
 * RightSourcing credits $12,500 monthly ($150,000 annually) towards the salary of the Mt. Sinai Contingent Workforce Liaison.
This can't be tracked in Valio because it is not in the POH data.</t>
  </si>
  <si>
    <t>Sage Products, LLC</t>
  </si>
  <si>
    <t>(ID#:35) Medical and Dental Product Purchase Agreement (Prevalon, PrimaFit, Toothette, Q-Care, etc.) W/ Rebate Incentives</t>
  </si>
  <si>
    <t>4052.26930C</t>
  </si>
  <si>
    <t>Annual Rebate
Rebated Products: Various medical and dental products including Prevalon, PrimaFit, Toothette, Q-Care, etc.
$950,000 to $1,400,000: 3% rebate on Net Sales. (Example: $1,400,000 Net Sales = $42,000 rebate)$1,400,001 to $1,900,000: 3.5% rebate on Net Sales. (Example: $1,900,000 Net Sales = $66,500 rebate)$1,900,001 to $2,400,000: 4% rebate on Net Sales. (Example: $2,400,000 Net Sales = $96,000 rebate)$2,400,001 to $2,900,000: 4.5% rebate on Net Sales. (Example: $2,900,000 Net Sales = $130,500 rebate)$2,900,001 to $6,500,000: 5% rebate on Net Sales. (Example: $6,500,000 Net Sales = $325,000 rebate)$6,500,001 to $7,500,000: 5.5% rebate on Net Sales. (Example: $7,500,000 Net Sales = $412,500 rebate)</t>
  </si>
  <si>
    <t>Strategic Services Group</t>
  </si>
  <si>
    <t>(ID#:36) Monthly rebate</t>
  </si>
  <si>
    <t>4052.29554C</t>
  </si>
  <si>
    <t>Monthly</t>
  </si>
  <si>
    <t>CONCIERGE SERVICES AGREEMENT REBATE 
Rebate Period: Monthly
Rebated Services: Concierge and security services provided by Strategic Services Group, Inc.
Rebate Details:
 * Monthly Rebate: $8,928.57
 * Total Rebate: $375,000 over 42 months
Conditions:
 * Rebate payments start on July 1, 2023.
 * Rebates are paid monthly for 42 months.
Not tracked in Valio because not on POH.</t>
  </si>
  <si>
    <t>Stryker Neurovascular</t>
  </si>
  <si>
    <t>(ID#:37) Neurovascular Products &amp; Rebate Agmt.</t>
  </si>
  <si>
    <t>4052.6437c</t>
  </si>
  <si>
    <t>ANNUAL STRYKER NEUROVASCULAR PRODUCTS REBATE PROGRAM
Rebate Period: Quarterly from the Effective Date
Rebated Products: Neurovascular products excluding Virtual Kits and Aspiration Pump Products
Rebate Tiers and Requirements:
 1. Volume Discount Matrix: * Tier 1: $900,000 to $999,999 in purchases = 3% rebate
     * Tier 2: $1,000,000 to $1,249,999 in purchases = 4% rebate
     * Tier 3: $1,250,000 to $1,499,999 in purchases = 6% rebate
     * Tier 4: $1,500,000+ in purchases = 8% rebate</t>
  </si>
  <si>
    <t xml:space="preserve">Teleflex </t>
  </si>
  <si>
    <t>(ID#:38) TELEFLEX ENTERPRISE REBATE AGREEMENT</t>
  </si>
  <si>
    <t>4052.29883C</t>
  </si>
  <si>
    <t>ANNUAL TELEFLEX ENTERPRISE REBATE AGREEMENT
Rebated Products: Various products purchased from Teleflex
Base Net Purchases: $4,572,464.00
 1. Rebate Calculation: * Qualification Criteria: * Aggregate Member Net Purchases of all Products during a Contract Year must equal or exceed $4,709,637.92 (Base Net Purchases + 3%).
        * If qualified, Teleflex will pay a rebate amount equal to 3% of the Base Net Purchases.
     * Additional Growth Rebate: * If purchases exceed $4,709,637.92 but are less than $4,892,536.48 (Base Net Purchases + 7%): * 10% rebate on the amount exceeding Base Net Purchases.
        * If purchases equal or exceed $4,892,536.48: * 15% rebate on the amount exceeding Base Net Purchases.</t>
  </si>
  <si>
    <t>Terumo Medical Corporation</t>
  </si>
  <si>
    <t>(ID#:39) Loyalty Rebate (Years 4,5, &amp; 6)</t>
  </si>
  <si>
    <t>4052.6344C</t>
  </si>
  <si>
    <t>ANNUAL TERUMO GROWTH AND LOYALTY REBATE PROGRAM
Rebated Products: All Terumo Medical Corporation products specified in the agreement
 1. Growth Rebate: * 0% - 11.99% growth over Baseline: 0% rebate on growth over Baseline
     * 12% or more growth over Baseline: 10% rebate on growth over Baseline
 2. Loyalty Incentive Rebate: * Year 4: 2.00% rebate
     * Year 5: 2.00% rebate
     * Year 6: 2.00% rebate</t>
  </si>
  <si>
    <t>Tronex International, Inc.</t>
  </si>
  <si>
    <t>(ID#:41) Disposable Non-Sterile Protective Apparel Purchasing Agreement with Rebate</t>
  </si>
  <si>
    <t>4052.27581C</t>
  </si>
  <si>
    <t>ANNUAL TRONEX REBATE PROGRAM
Rebated Products: Disposable Non-Sterile Protective Apparel (Isolation Gowns)
 1. Rebate Calculation: * Rebate Percentage: 3% rebate on all Products listed in Exhibit A
     * Eligibility: Mount Sinai must commit at least 80% of its annual isolation gown category spend to Tronex.
 2. Buffer Inventory &amp; Storage Fees: * Buffer Fees: Tronex will pay $50,000 annually, disbursed in quarterly installments of $12,500.
     * Conditions: Mount Sinai must maintain an agreed inventory level and notify Tronex of changes in volume.
     * Buffer fee not tracked in Valio because not on POH</t>
  </si>
  <si>
    <t>W. L. Gore &amp; Associates, Inc.</t>
  </si>
  <si>
    <t>(ID#:42) Attachment One</t>
  </si>
  <si>
    <t>4052.3124C</t>
  </si>
  <si>
    <t>Bi-annual</t>
  </si>
  <si>
    <t>W.L. GORE ANNUAL REBATE PROGRAM
Rebated Products:
 * Attachment One: Thoracic Stent Grafts and other specified products
 * Attachment Four: Peripheral Stent Grafts and other specified products
 1. Attachment One Rebate: * $750,000 - $974,999: 1.5% rebate
     * $975,000+: 2.5% rebate
 2. Attachment Four Rebate: * $1,000,000 - $1,249,999: 1.75% rebate
     * $1,250,000+: 3.0% rebate</t>
  </si>
  <si>
    <t>WG Critical Care</t>
  </si>
  <si>
    <t>(ID#:44) Levetiracetam Compliance Rebate (Premier)</t>
  </si>
  <si>
    <t>PPPH18WGC01</t>
  </si>
  <si>
    <t>Pharmacy (MSHS)</t>
  </si>
  <si>
    <t>WG CRITICAL CARE REBATE PROGRAM
Rebated Products: Levetiracetam in Sodium Chloride Injection
 1. Rebate Calculation: * Rebate Percentage: 10% rebate on eligible product purchases.
     * Eligible Products and Rebate Amounts: * Levetiracetam in 0.82% Sodium Chloride Injection, 500mg/100mL
        * Levetiracetam in 0.75% Sodium Chloride Injection, 1000mg/100mL
        * Levetiracetam in 0.54% Sodium Chloride Injection, 1500mg/100mL
Conditions:
 * Eligibility: Must maintain an 85% or greater Aggregate Rebate Compliance Purchase Level of all measured products during a measurement period.
 * Measurement Period: Calendar quarter starting on the program effective date.</t>
  </si>
  <si>
    <t>Welch Allyn Inc.</t>
  </si>
  <si>
    <t>(ID#:45) Annual Rebate</t>
  </si>
  <si>
    <t>4052.30199C</t>
  </si>
  <si>
    <t>WELCH ALLYN REBATE PROGRAM
Rebated Products: Blood Pressure Cuff Products
 1. Volume Rebate: * 1.5% rebate on Net Purchases up to the amount of Net Purchases in the previous Contract Year.
     * Eligibility: Net Purchases must be at least equal to Net Purchases in the previous Contract Year, and purchase requirements must be met.
 2. Growth Rebate: * 5% rebate on growth in Net Purchases compared to the previous Contract Year.
     * Eligibility: Net Purchases must exceed Net Purchases in the previous Contract Year, and purchase requirements must be met.</t>
  </si>
  <si>
    <t>Zimmer Biomet</t>
  </si>
  <si>
    <t>(ID#:46) Tether construct rebate</t>
  </si>
  <si>
    <t>4052.19055C</t>
  </si>
  <si>
    <t>QUARTERLY ZIMMER BIOMET REBATE PROGRAM
Rebated Products: Tether Constructs and VBT Assemblies
Rebate Tiers:
 1. Tether Construct 1: * Quarterly Net Purchase Volume: Rebate Percentage: 15%
 2. Tether Construct 2: * Quarterly Net Purchase Volume: Rebate Percentage: 10%</t>
  </si>
  <si>
    <t>(ID#:48) ALI TAVI Pacemaker credit</t>
  </si>
  <si>
    <t>4052.30387C</t>
  </si>
  <si>
    <t>2 Quarterly incentives
1. Navitor valve credit: Measured per facility * Tier 1: $2K credit (between 2-8 units)
 * Tier 2: $3,500 credit (9+)
Navitor Valve Model Numbers: NVTR-23, NVTR-25, NVTR-27, NVTR-29, NVRO-23, NVRO-25, NVRO-27, NVRO-29, NVRO-35
2. ALI TAVI Pacemaker credit: Measured per facility
This will require manual verification.
$3,000 credit (not to exceed 15% of total ALI TAVI valve implants on an annual basis) if patient receives an ALI Permanent Pacemaker Implant within thirty (30) days following implant of an ALI TAVI Valve, not to exceed 15% of total ALI TAVI Valves implanted on an annual basis.
Permanent Pacemaker Implant (“PPI”) shall be defined as a self-contained, battery operated, implanted device that sends electrical stimulation to the heart through one or more implanted leads.
ALI TAVI Valves shall be defined as:
 * Portico Valve Model Numbers: PRT-23, PRT-25, PRT-27, PRT-29
 * Navitor Valve Model Numbers: NVTR-23, NVTR-25, NVTR-27, NVTR-29, NVRO-23, NVRO-25, NVRO27, NVRO-29, NVRO-35</t>
  </si>
  <si>
    <t>(ID#:50) CRM | ICM</t>
  </si>
  <si>
    <t>4052.30727C</t>
  </si>
  <si>
    <t>2 Quarterly Rebates
1. ICM Unit Incentive Rebate Program: 3 tiers
 * Tier 1: DM4500 &amp; DM5300 ($200/unit), DM 5500 ($100/unit) when you buy 75 units per quarter OR 300 units per yea
 * Tier 2: DM4500, DM5300 &amp; DM5500 - $400 when you buy 150 Units per quarter OR 600 units per year
 * Tier 3: DM4500, DM5300 &amp; DM5500 - $600 when you buy 225 units per quarter OR 900 units per year
Qualifying purchases: JotDX (DM4500), Assert IQ 3+ ICM (DM5300) and Assert IQ EL + ICM (DM5500)
2. CRM Market Share Incentive Rebate Program
 * 10% rebate on qualifying CRM purchases. Must purchase a minimum of $1,250,000.00 of qualifying CRM products on a quarterly basis, in aggregate.
*Qualifying Product Purchases included in the Rebate Requirement:
Cardiac Rhythm Management Products (CRM) – High Voltage (i.e., ICDs, CRTDs, High Voltage Leads), Low Voltage (i.e., Pacemakers, CRTPs, Low Voltage Leads), ICM, and traditional accessories. (Excluding Leadless Pacemakers and associated Leadless Pacemaker accessories.)
**Qualifying Product Purchases included in the Rebate Earned:
Cardiac Rhythm Management Products (CRM) – High Voltage (i.e., ICDs, CRTDs, High Voltage Leads), Low Voltage (i.e., Pacemakers, CRTPs, Low Voltage Leads), and traditional accessories. (Excluding Leadless Pacemakers, associated Leadless Pacemaker accessories and ICM, including Confirm, Jot, Assert).</t>
  </si>
  <si>
    <t>(ID#:52) Rebate D: $500 credit</t>
  </si>
  <si>
    <t>4052.4340C</t>
  </si>
  <si>
    <t>4 Incentives: Rebate A &amp; B Quarterly with Annual True-Up Option. Rebate C and D Quarterly
 1. Rebate A: MCG40100 - MitraClip G4 System * Tier 1: 3% rebate (Purchase a minimum of (16) Units quarterly*, in aggregate *Annual True-Up Option: Purchase a minimum of sixty-four (64) units in aggregate
     * Tier 2: 5% rebate (Purchase a minimum of (21) Units quarterly*, in aggregate *Annual True-Up Option: Purchase a minimum of eighty-four (84) units in aggregate
 2. Rebate B: Amplatzer Talisman PEG * Tier 1: 3% rebate (Purchase a minimum of (21) Units quarterly*, in aggregate *Annual True-Up Option: Purchase a minimum of eighty-four (84) units in aggregate
     * Tier 2: 5% rebate (Purchase a minimum of (25) Units quarterly*, in aggregate *Annual True-Up Option: Purchase a minimum of one-hundred (100) units in aggregate
 3. Rebate C: LAA * Final price / unit = $15K (represents a $2K credit) Purchase minimum of 10 Amulet units on a quarterly basis in Aggregate
 4. Rebate D:  * $500 credit if any tier in rebates A or B are met, with a max of $1K - only available to The Mount Sinai Hospital.</t>
  </si>
  <si>
    <t>(ID#:57) SH - Structural Heart CardioMems</t>
  </si>
  <si>
    <t>4052.4456C</t>
  </si>
  <si>
    <t>Quarterly 2 tier rebate on CM Patient System:
 * Tier 1: 2% rebate (must buy between 12-15 units)
 * Tier 2: 4% rebate (16+ units)</t>
  </si>
  <si>
    <t>(ID#:58) MCS</t>
  </si>
  <si>
    <t>4052.8474C</t>
  </si>
  <si>
    <t>2 quarterly incentives
 1. Volume Rebate Program on HeartMate * Tier 1: 2% rebate (min 6 / max 7 units)
     * Tier 2: 4% rebate (min 8+ units)
 2. CartlioMems Purchase Rebate
     * 2% rebate onHeartMate 3 Qualified Products if 15+ quarterly units of CardioMems qualified producdts</t>
  </si>
  <si>
    <t>Alcon</t>
  </si>
  <si>
    <t>(ID#:60) 7-3-2 Program Agreement Facility Performance Product-Rebate Agmt. (Cataract Custom-Paks and related products) - NYEEI</t>
  </si>
  <si>
    <t>4088.9053C</t>
  </si>
  <si>
    <t>2 tier B-Annual rebate (requires manual verification)
 * Tier 1: 7% rebate on Monofocals Custom Pak/PikPaks Alcon Ophthalmic Knives/Blades: Requires 45% compliance
 * Tier 2: 12% rebate on Monofocals Custom Pak/PikPaks Alcon Ophthalmic Knives/Blades: Requires 50% compliance
Rebate Qualification. To qualify for a Rebate, Customer must meet both ofthe following product utilizationrequirements, as calculated by Alcon in its sole discretion:
a. Minimum Alcon IOL Utilization: The Minimum Alcon IOL Utilization will be calculated using the number of all models of Alcon IOL utilized at Customer’s facility as a percentage of the total Procedure Count performed at the facility, where Procedure Count is defined as the total number of cataract procedures performed at the facility, as calculated by Alcon using the total number of Alcon cataract FMS equipment cassettes utilized.
b. Custom Pak®IPikPaks® Utilization: Customer must use an Alcon Custom Pak® and/or PikPaks® for each cataract procedure performed; provided, however, that at least one of either the Custom Pak® and PikPaks® used in such procedure must include (i) an Alcon viscoelastic viscoelastic in 75% of such procedures; and (ii) an Alcon cataract FMS equipment cassette in 100% of such procedures.</t>
  </si>
  <si>
    <t>(ID#:61) Joint Rebate Program - ANNUAL</t>
  </si>
  <si>
    <t>4052.8497C</t>
  </si>
  <si>
    <t>Annual rebate with strict requirements
8% rebate on Revolve, Naturelle, &amp; Biologics (ALLODERM &amp; STRATTICE).
 * Must spend $100K on Revolve | $1.1M on Naturelle | $2.2M on Alloderm &amp; Stratice.
 * Every spend requirement must be hit AND 85% compliance to achieve ANY of the rebates.</t>
  </si>
  <si>
    <t>Ambu Inc.</t>
  </si>
  <si>
    <t>(ID#:63) Anesthesia Products Rebate</t>
  </si>
  <si>
    <t>4052.25671C</t>
  </si>
  <si>
    <t>4 tier annual rebate on single use scopes / 90% compliance requirement
 * Tier 1: 2%: When spend is between $910,000 -: $1,209,999.00
 * Tier 2: 3%: When spend is between $1,210,000 Max: $1,509,999.00
 * Tier 3: 5%: When spend is between $1,510,000 Max: $1,909,999.00
 * Tier 4: 7%: When spend is over $1,910,000
Requires manual verificaton: Products impacting this requirement: (90%) usage of Ambu single-use flexible scopes per procedure where an Ambu scope is available.</t>
  </si>
  <si>
    <t>B. Braun</t>
  </si>
  <si>
    <t>(ID#:64) ENTERPRISE INITIATIVES AGREEMENT W/ REBATES</t>
  </si>
  <si>
    <t>4052.20406C</t>
  </si>
  <si>
    <t>1-2% rebate depending on the product category (19 different categories), each with their own spend requirement.
 * Minimum total aggregate spend must be at least $16,626,537 to recieve the rebates.</t>
  </si>
  <si>
    <t>(ID#:66) Pricing &amp; Commitment (Rebate) Agreement - Safety IV Catheters</t>
  </si>
  <si>
    <t>4052.26733C</t>
  </si>
  <si>
    <t>2 rebates
 1. Year 1 Growth Rebate (expired) 15% rebate on Safety IV Catheters with spend of 2,660,784.00 &amp; 85% compliance
 2. Partnership Rebate: * 2% rebate on VA – Connectors &amp; Extension Sets with spend of 534K &amp; 85% compliance
     * 2% rebate on Safety IV Catheters with spend of $3,562,000.00 &amp; 85% compliance</t>
  </si>
  <si>
    <t>(ID#:68) Strategic Collaboration Rebate</t>
  </si>
  <si>
    <t>4052.27661C</t>
  </si>
  <si>
    <t>2 bi-annual rebates:
 1. Base rebate: 1.5% rebate as long as spend is same or greater than previous year.
 2. 2 tier growth rebate: * Tier 1: 7% rebate on growth over base if spend is between 107.5% - 110.00% of base
     * Tier 2: 10% rebate on growth over base if spend is between &gt;110.00% of base
* Agreement says "annual" but it is calculated bi-annually.</t>
  </si>
  <si>
    <t>Bard</t>
  </si>
  <si>
    <t>(ID#:71) Procedure Trays and Needles Volume Rebate - Premier PP-NS-1573</t>
  </si>
  <si>
    <t>PP-NS-1573</t>
  </si>
  <si>
    <t>3% rebate on Procedure trays &amp; needles</t>
  </si>
  <si>
    <t>Boston Scientific</t>
  </si>
  <si>
    <t>(ID#:72) Rebate 1: Discount Pricing Rebate Agmt. (Urology Products-Penile Implants)</t>
  </si>
  <si>
    <t>4052.13446C</t>
  </si>
  <si>
    <t>4% rebate on SPACEOAR - SO-2101 &amp; SV-2101 if net purchases are $461,955.00 +
4% rebate on MOXY FIBERS - 0010-2400 if net purchases are $78,353.00 +</t>
  </si>
  <si>
    <t>(ID#:74) Combo: Annual</t>
  </si>
  <si>
    <t>2 bi-annual &amp; 2 annual rebates:
Bi-annual
 1. 4% rebate on REZUM – D2201-5SB &amp; M006D2201-003 when spend is &gt; $114K
 2. 2% rebate on REZUM – D2201-5SB &amp; M006D2201-003 MOXY FIBERS – 0010-2400 GREENLIGHT HPS – 0010-2090 SPACEOAR – SO-2101 &amp; SV-2101 when spend is $393,103.00 +
Annual
 1. 4% rebate on REZUM – D2201-5SB &amp; M006D2201-003 when spend is &gt;$228,000.00 +
 2. 2% rebate on REZUM – D2201-5SB &amp; M006D2201-003 MOXY FIBERS – 0010-2400 GREENLIGHT HPS – 0010-2090 SPACEOAR – SO-2101 &amp; SV-2101 when spend is $786,208.00 +</t>
  </si>
  <si>
    <t>(ID#:78) Prosthetic Urology Product Pricing and Rebate Agreement (TACTRA, AMBICOR, PRECONNECT, RESERVOIR, SNAP FIT, etc.)</t>
  </si>
  <si>
    <t>4052.23121C</t>
  </si>
  <si>
    <t>2 tier annual rebate:
 * Tier 1: 2% rebate on Erectile restoration products when spend is between $345K - $500K
 * Tier 2: 5% rebate when spend is &gt;$500K</t>
  </si>
  <si>
    <t>(ID#:80) DES Volume Rebate - Drug Eluting Stents</t>
  </si>
  <si>
    <t>4052.2947C</t>
  </si>
  <si>
    <t>Credit / unit, based on product
 1. $200/unit credit on BP- DES XD 48 &amp; Megatron
 2. $130/unit credit on BP-DES
 3. $80/unit credit on PP-DES
Must be 95% compliant to Dual Vendor Drug Eluting Stent Unit Market Share</t>
  </si>
  <si>
    <t>(ID#:83) LUX Unit Rebate/Market Share Rebate</t>
  </si>
  <si>
    <t>Quarterly $450 per unit ICM credit
If MOUNT SINAI ENTITIES, in aggregate, achieves at least 60% BostonScientific CRM Market Share based on quarterly net dollar volume OR CRM market share based on quarterly implants, AND either achieves at least 60% Boston Scientific ICM Market Share OR purchases at least 50 Boston Scientific ICM units per quarter, MOUNT SINAI ENTITIES shall earn a rebate of $450 per Boston Scientific ICM unit purchased during the criteria period.</t>
  </si>
  <si>
    <t>(ID#:84) FLX Volume Discount Rebate</t>
  </si>
  <si>
    <t>4052.4509C</t>
  </si>
  <si>
    <t>Quarterly: 2 incentives
 1. $2K credit per procedure pricing bundle when at least 32 are purchased/QTR
 2. $2K credit per procedure pricing bundle when at least $2,250,000 is purchased in BSC CRM &amp; IC products
Watchman</t>
  </si>
  <si>
    <t>(ID#:85) Interventional Cardiology Products (Sentinel Volume Rebate)</t>
  </si>
  <si>
    <t>4052.7486C</t>
  </si>
  <si>
    <t>Bi-annual per unit credit on Sentinel Products
 1. Tier 1:$700: min 36 units
 2. Tier 2:$800: min 70 units
 3. Tier 3:$900: min 100 units</t>
  </si>
  <si>
    <t>(ID#:86) Core PI Products - TheraSphere Purchase &amp; Rebate</t>
  </si>
  <si>
    <t>4052.8583C</t>
  </si>
  <si>
    <t>2 bi-annual incentives:
 1. % rebate on TheraSphere when at least 135 units are purchased OR 95% marketshare
 2. Tiered rebate * Tier 1: 3% rebate: Spend between $926,900 - $1,019,589.99
     * Tier 2: 6% rebate: Spend between$1,019,590 - $1,121,548.99
     * Tier 3: 9 % rebate: Spend &gt; $1,121,549
    Tiered rebate products: CryoAblation Needles, Microcatheters, Microcatheter Kits, Coils, Beads, Coil Pusher, Wallflex Stents, Drainage Catheters, Interventional Oncology Wires (Transend &amp; Fathom), Tumor Ablation</t>
  </si>
  <si>
    <t xml:space="preserve">(ID#:88) Rebate Agreement for Electrophysiology - Access Solutions - Products (Catheters) </t>
  </si>
  <si>
    <t>4052.8623C</t>
  </si>
  <si>
    <t>Bi-annual 3-tier rebate on Electrophysiology Rebate Qualifying Products
 * Tier 1: 2% of net EP Product on revenue from $113,500 to $250,000 when spend is between $113K-250K
 * Tier 2: 5% of net EP Product on revenue from $113,500 to $375,000 when spend is between $250,001 $375,000
 * Tier 3: 7% of net EP Product on revenue from $113,500 when spend is between $375,001 $500,000</t>
  </si>
  <si>
    <t>(ID#:89) Exalt Model B Single Use Bronchoscope w/ Rebate</t>
  </si>
  <si>
    <t>4121.30353C</t>
  </si>
  <si>
    <t>$138.86 credit per Exalt™ Model B 4* M00542760 for which S. Nassau has 4 for a total credit value potential of $555.44.
Must be 85% compliant in single-use bronchoscopes.
This is an offset to the monthly fee of $555.44, but markethsare is assessed quarterly.</t>
  </si>
  <si>
    <t>Bristol-Myers Squibb Company</t>
  </si>
  <si>
    <t>(ID#:90) Nulojix 340B DSH Hospital Inpatient Agmt. and REBATE</t>
  </si>
  <si>
    <t>80% rebate off of the Product’s Contract Price NULOJIX LINJ 250MG, (1VL) W/1SYR US
Requires manual verification.
Rebate Calculation: The rebate for each Product will be calculated for Hospital on a calendar quarter by calendar quarter basis by multiplying (a) the quarterly administered unit volume of the Product to Nulojix Patients by (b) the Product’s Contract Price in effect for such calendar quarter by (c) the incremental rebate rate.
Discount Cap: Notwithstanding the foregoing, the total discount that Hospital is eligible to receive on Product during any calendar quarter, inclusive of Contract Price discounts and Rebates, will be capped at 85% off of the Product’s Wholesale List Price (WLP) in effect for such calendar quarter. Any Rebates that would cause discounts to exceed 85% off of WLP will be reduced accordingly to satisfy this cap. A Nulojix Patient shall mean: an adult patient who received his/her first dose o f Product administered by Hospital as an inpatient for kidney transplant.</t>
  </si>
  <si>
    <t>CSL BEHRING L.L.C.</t>
  </si>
  <si>
    <t>(ID#:91) Hemgenix Product Purchase Agreement w/ Rebate</t>
  </si>
  <si>
    <t>4052.29924C</t>
  </si>
  <si>
    <t>Quarterly 5% rebate
The Company agrees to pay on a quarterly basis a rebate of 5% of the actual invoice prices on all Productsold under this Agreement during each calendar quarter.</t>
  </si>
  <si>
    <t>Cardiovascular Systems, Inc.</t>
  </si>
  <si>
    <t>(ID#:92) Quarterly Coronary OAS Rebate</t>
  </si>
  <si>
    <t>4052.8546C</t>
  </si>
  <si>
    <t>2 Quarterly per unit rebates 
 1. Products: Peripheral Diamondback 360 and Peripheral Diamondback 360® 2.0 MAX * Tier 1: $600 per unit credit on units between 80 - 99
     * Tier 2: $700 per unit credit on units between 100-119
     * Tier 3: $845 per unit credit on units 120+
 2. Products: Coronary Diamondback 360 * Tier 1: $500 per unit credit on units between 35-44
     * Tier 2: $995 per unit credit on units between 45-57
     * Tier 3: $1,070 per unit credit on units 58-69
     * Tier 4: $1,145 per unit credit on units 70+</t>
  </si>
  <si>
    <t>Cerenovus</t>
  </si>
  <si>
    <t>(ID#:94) (J&amp;J Codman IDN) Neurovascular Products w/ Rebate (11/12/22-5/11/25)</t>
  </si>
  <si>
    <t>4052.11926C</t>
  </si>
  <si>
    <t>Annual 4% rebate on spend when minimum spend of $2.9M is achieved.</t>
  </si>
  <si>
    <t>(ID#:95) Procedure Tray Volume Rebate - Premier PP-NS-1764</t>
  </si>
  <si>
    <t>PP-NS-1764</t>
  </si>
  <si>
    <t>ANNUAL BECTON, DICKINSON AND COMPANY VOLUME REBATE PROGRAM
Rebate Period: Annually from the Effective Date
Rebated Products: Procedure Trays and Needles
Volume Rebate:
 * Rebate Percentage: 3% on Eligible Product purchases
 * Eligibility: Participating Members must be rostered members of Premier at the time of the Rebate Amount calculation
 * Example: If total Eligible Product purchases equal $100,000, the Rebate Amount would be $3,000 ($100,000 x 3%)</t>
  </si>
  <si>
    <t>(ID#:97) Interventional Urology Products Pricing Agmt w/ Rebate</t>
  </si>
  <si>
    <t>4052.11359C</t>
  </si>
  <si>
    <t>Annual 2.5% rebate on spend, as long as spend is at least $2.5M.</t>
  </si>
  <si>
    <t>(ID#:98) Annual Growth Rebate (Target $130,000)</t>
  </si>
  <si>
    <t>4052.13705C</t>
  </si>
  <si>
    <t>DepuySynthes</t>
  </si>
  <si>
    <t>(ID#:99) Spinal Products and Rebate Agmt.</t>
  </si>
  <si>
    <t>4052.17343C</t>
  </si>
  <si>
    <t>Annual rebate based on spend
 * Tier 1: 5% rebate when spend is $3,000,000 - $5,000,000
 * Tier 2: 6.5% rebate when spend is &gt;$5M</t>
  </si>
  <si>
    <t>(ID#:100) Quarterly Mobile Cart Rebate</t>
  </si>
  <si>
    <t>5122.28449C</t>
  </si>
  <si>
    <t>BVA (MSHS)</t>
  </si>
  <si>
    <t>Quarterly $15,500 rebate
Derive agrees to apply a rebate to each quarterly billing in the amount of $15.500 (“Quarterly Rebate”). At the hospital’s sole discretion, this amount may be applied to one or more facilities in varying amounts ofthe hospital’s choosing, so long as the sum ofthese amounts does not exceed the total Quarterly Rebate.</t>
  </si>
  <si>
    <t>Edwards Lifesciences, LLC</t>
  </si>
  <si>
    <t>(ID#:101) Quarterly Volume Rebate &amp; 4Q Annual Rebate on Transcatheter Heart Valve Products</t>
  </si>
  <si>
    <t>4052.3435C</t>
  </si>
  <si>
    <t>Annual per unit credit on Transcatheter Heart Valve Products based on spend with annual true-up option.
9 tiers ranging from $750/unit (8 to 19 quarterly units( up to $4K/unit (85+ quarterly units)</t>
  </si>
  <si>
    <t>Diversey, Inc.</t>
  </si>
  <si>
    <t>(ID#:102) Agreement to Enhance Premier Contract w/ Rebate</t>
  </si>
  <si>
    <t>4052.30107C</t>
  </si>
  <si>
    <t>Annual tiered rebate based on spend
 * Tier 1: 2% rebate when spend is between $100K - $119K
 * Tier 2: 3% rebate when spend is between $120K - $150K
 * Tier 3: 4% rebate when spend is between $150K - $200K
 * Tier 4: 5% rebate when spend is between $200K - $500K
 * Tier 5: 6% rebate when spend is over $500,000+</t>
  </si>
  <si>
    <t>Fisher Scientific Co., LLC</t>
  </si>
  <si>
    <t>(ID#:103) Laboratory and Safety Supply Purchase Agmt. w/ Annual Purchase Rebate Back to Dollar One (2024-2029)</t>
  </si>
  <si>
    <t>4052.10634C</t>
  </si>
  <si>
    <t>Lab (MSHS)</t>
  </si>
  <si>
    <t>Annual 1.25% rebate on spend.</t>
  </si>
  <si>
    <t>Fresenius Medical</t>
  </si>
  <si>
    <t>(ID#:104) Hemodialysis Disposables Supply Agmt. w/ rebate &amp; commitment</t>
  </si>
  <si>
    <t>4052.10556C</t>
  </si>
  <si>
    <t>Annual rebate based on # of units of non-reuse dialyzers are purchased.
 * Tier 1: 2% rebate when units are between 49,876 -- 54,865
 * Tier 2: 6% rebate when units are 54,866+</t>
  </si>
  <si>
    <t>(ID#:105) Use, License, and Service Agmt.-Placement of 7 daVinci Systems (MA-737-2018) with Rebate - MSW, MSQ</t>
  </si>
  <si>
    <t>4047.16069C</t>
  </si>
  <si>
    <t>Annual rebate based on the # of "performing units":
 * $25,000.00 for 5 "performing units
 * $50K for 6 "performing units":
 * $100,000.00 for 7+ "performing units
A Placed System that meets or exceeds 80% of the annual target procedures during a given year of the Use Period, as specified in Section 2, will be deemed “Performing”.</t>
  </si>
  <si>
    <t>Solventum (Formerly KCI)</t>
  </si>
  <si>
    <t xml:space="preserve">(ID#:106) Maintenance Rebate / V.A.C. Ulta Therapy Unit </t>
  </si>
  <si>
    <t>Quarterly 7% rebate when base spend on Negative Pressure Wound Therapy (based on previous quarter) is acheved.</t>
  </si>
  <si>
    <t xml:space="preserve">Lantheus/ Progenics Pharmaceuticals, Inc. </t>
  </si>
  <si>
    <t>(ID#:107) Quarterly Rebate Program (Icahn School of Medicine Only)</t>
  </si>
  <si>
    <t>4052.28412C</t>
  </si>
  <si>
    <t>2 rebate opportunities
 1. Annual 2% rebate when at least 1,250 "unit doses" are provided.
 2. Quarterly 12% rebate when at least 313 "unit does" are provided.
* Need to confirm if this can be tracked with POH data.</t>
  </si>
  <si>
    <t>Medline Industries</t>
  </si>
  <si>
    <t>(ID#:109) Quarterly Medline Brand Products Rebate</t>
  </si>
  <si>
    <t>4052.25253C</t>
  </si>
  <si>
    <t>4 rebate opportunities
 1. Annual 5% Growth rebate on growth over previous year on Medline Brand Products (Excluding SPTs) Medline Brand Products (Sterile Procedure Trays)
 2. Quarterly per product credit based on level of spend
 3. Quarterly rebate on Medline Brand Products (Excluding SPTs) * Tier 1: 2% rebate when spend is between $25,000,000 -$34,999,999
     * Tier 2: 4% rebate when spend is between $35,000,000 - $44,999,999
     * Tier 3: 5% rebate when spend is between $45,000,000 -$54,999,999
     * Tier 4: 6% rebate when spend is between $55,000,000 -$69,999,999
     * Tier 5: 8% rebate when spend is $70,000 +
 4. Annual rebate on product sales of Medline Brand Products (Excluding SPTs), Medline Brand Products (Sterile Procedure Trays) * Year 1: .34% rebate
     * Year 2: .33% rebate
     * Year 3: .33% rebate</t>
  </si>
  <si>
    <t>(ID#:113) Customer Resource Rebate</t>
  </si>
  <si>
    <t>Quarterly rebate: 
In lieu of the removed IPVA and DLS, Supplier will credit Provider quarterly, paid in the form of a rebate.
Quarterly Credit Schedule payable in the amount below starting on the initial date for payment range.
 * November 1, 2023 to March 31, 2024 - $67,500
 * April 1, 2024 to March 31, 2025 - $69,525
 * April 1, 2025 to May 17, 2026 - $71, 610
 * April 1, 2026 to May 17, 2027 - $73,759</t>
  </si>
  <si>
    <t>(ID#:114) Exam Glove Rebate Agreement</t>
  </si>
  <si>
    <t>4052.30583C</t>
  </si>
  <si>
    <t>Quarterly 10% exam glove rebate when compliance is at least 90%.</t>
  </si>
  <si>
    <t>(ID#:115) Lock Access Product Agreement w/ Vacutainer Rebate</t>
  </si>
  <si>
    <t>4052.30584C</t>
  </si>
  <si>
    <t>33.6% quarterly rebate on LLAD &amp; BTRD by the Case/198.
Requires manual verification.
Supplier agrees to maintain at its branch a minimum of sixty (60) days of inventory of Products specifically for Provider. The Products are custom and are available for purchase by Provider only and not available for purchase by other customers of Supplier without the explicit permission of Provider. For the purposes of this commitment, sixty (60) days inventory on hand will be calculated based on Provider’s previous three (3) month rolling average usage. Should Provider purchase more than one hundred fifty percent (150%) of its forecasted inventory commitment in a given period, then Supplier shall have a reasonable time to replenish inventory to restore inventory to sixty (60) days. Supplier and Provider agree to communicate frequently to ensure forecasted purchasing levels are appropriate for both Parties. Upon request, Supplier will provide Provider with on hand stock quantities.</t>
  </si>
  <si>
    <t>(ID#:116) GPO Supplement - Enhancement Agreement w/ Underpad Rebate</t>
  </si>
  <si>
    <t>4052.30585C</t>
  </si>
  <si>
    <t>Quarterly rebate of $1.59/UOM of EXTRASORB3036A</t>
  </si>
  <si>
    <t>(ID#:117) ComfortGlide Rebate</t>
  </si>
  <si>
    <t>4052.31758C</t>
  </si>
  <si>
    <t>Annual growth rebate on ComfortGlide products.
 * Tier 1: 20% rebate on growth when growth is between 115.00% - 125.00% of base (same period last year)
 * Tier 2: 28% rebate on growth when growth is between 125.00% - 139.99% of base
 * Tier 3: 50% rebate on growth when growth is 140%+ of base</t>
  </si>
  <si>
    <t>(ID#:118) Master agreement - Annual Rebate #1 - Ligasure (Tier 1: 4% &amp; Tier 2: 6%)</t>
  </si>
  <si>
    <t>4052.12590C</t>
  </si>
  <si>
    <t>Surgical Energy Ligasure rebate * Tier 1: 4% 
 * Tier 2: 6% 
 * Requires 90% compliance on surgical energy AND specified energy markets
 * May need manual verification: 
 * If the Customer’s Net Purchases of the Specified Energy Products that (i) have 510(k) clearance to be reprocessed and (ii) are available through Customer’s reprocessor (collectively, the “Reprocessable Products”), equal or exceed 50% of the Customer’s Net Purchases of the Ligasure™ disposable products under this Agreement, Customer will be eligible for a six percent (6%) Compliance Rebate (in lieu of the 4% compliance rebate) during the subsequent Contract Year, subject to achieving all of the compliance requirements required for payment of the Compliance Rebate.</t>
  </si>
  <si>
    <t>(ID#:121) Enterprise Partnership Rebate</t>
  </si>
  <si>
    <t>4052.30400C</t>
  </si>
  <si>
    <t>SEMI-ANNUAL MEDTRONIC REBATE PROGRAM
 * Rebate Period: Every six months from the Effective Date
 * Rebated Products: Cardiovascular, Medical Surgical, and Neuroscience portfolios
Year 1:
 * Tier 1: Semi-Annual Rebate Target: $32,500,000 | Annualized Rebate Target: $65,000,000 | Rebate Percentage: 2.5% | Applicable Portfolios: Cardiovascular, Medical Surgical, Neuroscience
 * Tier 2: Semi-Annual Rebate Target: $37,500,000 | Annualized Rebate Target: $75,000,000 | Rebate Percentage: 3.5% | Applicable Portfolios: Cardiovascular, Medical Surgical, Neuroscience
Year 2:
 * Tier 1: Semi-Annual Rebate Target: $34,500,000 | Annualized Rebate Target: $69,000,000 | Rebate Percentage: 2.5% | Applicable Portfolios: Cardiovascular, Medical Surgical, Neuroscience
 * Tier 2: Semi-Annual Rebate Target: $39,500,000 | Annualized Rebate Target: $79,000,000 | Rebate Percentage: 4.5% | Applicable Portfolios: Cardiovascular, Medical Surgical, Neuroscience
Year 3:
 * Tier 1: Semi-Annual Rebate Target: $35,500,000 | Annualized Rebate Target: $71,000,000 | Rebate Percentage: 2.5% | Applicable Portfolios: Cardiovascular, Medical Surgical, Neuroscience
 * Tier 2: Semi-Annual Rebate Target: $42,000,000 | Annualized Rebate Target: $84,000,000 | Rebate Percentage: 4.5% | Applicable Portfolios: Cardiovascular, Medical Surgical, Neuroscience</t>
  </si>
  <si>
    <t>Oncology Supply / AmerisourceBergen</t>
  </si>
  <si>
    <t>(ID#:123) Oncology Drug Supply Agmt. w/ Rebate</t>
  </si>
  <si>
    <t>4052.16068C</t>
  </si>
  <si>
    <t>Quarterly Oncology Supply Rebate * Tier 1: .05% rebate when spend is between $2,500,000 - $6,250,000
 * Tier 2: .1% rebate when spend is between $6,250,001 - $12,500,000
 * Tier 3: .15% rebate when spend is between $12,500,000 - $25,000,000</t>
  </si>
  <si>
    <t>(ID#:124) (Consignment) SMART Coils with Rebate</t>
  </si>
  <si>
    <t>4052.8469C</t>
  </si>
  <si>
    <t>ANNUAL PENUMBRA REBATE PROGRAM
Rebate Period: Annually from the Effective Date until February 28, 2024
Rebated Products: Indigo® System Lightning Flash™ Catheter products
Rebate Tiers and Requirements:
1. Rebate Calculation: If Purchaser buys at least one unit in a calendar quarter: You get $150 back for each unit purchased.
Specific Products and Rebate Amounts:
 * LITNGFHT115BER: $150 rebate per unit
 * LITNGFHT100BER: $150 rebate per unit
 * LITNGFHT80BER: $150 rebate per unit
 * LITNGFXT100H1: $150 rebate per unit</t>
  </si>
  <si>
    <t>Philips</t>
  </si>
  <si>
    <t>(ID#:125) Medical Consumable and Sensors Loyalty Program Agreement</t>
  </si>
  <si>
    <t>4052.27688C</t>
  </si>
  <si>
    <t>ANNUAL PHILIPS LOYALTY PROGRAM
Rebated Products: Medical Consumables and Supplies (MCS)
 * $600,000 in purchases: 3% rebate
 * $600,000 + 10% growth: 4% rebate
 * $600,000 + 20% growth: 5% rebate
Rebates are applied as an account credit within 90 days after the end of the term.</t>
  </si>
  <si>
    <t>W.W. Grainger</t>
  </si>
  <si>
    <t>(ID#:126) Annual Consolidation Growth Rebate (Over Baseline)</t>
  </si>
  <si>
    <t>4052.26588C</t>
  </si>
  <si>
    <t>ANNUAL GRAINGER REBATE PROGRAM
Rebated Products: Maintenance, Repair, and Operations Products
Consolidation Growth Rebate:
 * Rebate Percentage: Based on the growth rate over baseline purchases.
 * 10.00% - 14.99% growth: 0.50% rebate.
 * 15.00% - 19.99% growth: 0.75% rebate.
 * 20%+ growth: 1.25% rebate.
 * Baseline Purchases: The prior year's total purchases.</t>
  </si>
  <si>
    <t>(ID#:146) IV Therapy Products - ALL CATEGORIES (Premier)</t>
  </si>
  <si>
    <t>PP-IV-112+</t>
  </si>
  <si>
    <t>Additional Volume Discount. 
Purchase from B.Braun at least (a) 80% of its entire annual requirements of all Products and all functionally-equivalent products in each of the IV Solutions, Drug Delivery, Premixed Drugs and Irrigation Solutions product categories (collectively, the “Required Product Categories”), plus (b) 80% of its entire annual requirements of all Products and all functionally-equivalent products in each ofthe optional product categories selected by Participating Member below (each, an “Optional Committed Category”), if any, during each Contract Year during the term ofthe PMDF and the LOC (the “Rebate Requirements”):</t>
  </si>
  <si>
    <t>(ID#:151) Rebate program - QUARTERLY</t>
  </si>
  <si>
    <t>Annual rebate: 10%
Revolve, Naturelle, &amp; Biologics (ALLODERM &amp; STRATTICE).
85% compiance requirement for each product group.</t>
  </si>
  <si>
    <t>(ID#:152) Integrated Diagnostic Solutions Rebate Agreement</t>
  </si>
  <si>
    <t>4052.29192C</t>
  </si>
  <si>
    <t>Annual rebate of $0.10 rebate on 3 products:
 1. 367352 21 G x .75 in. BD Vacutainer® Push Button Blood Collection Set with 12 in. tubing
 2. 368656 23 G x .75 in. BD Vacutainer® Push Button Blood Collection Set with 12 in. tubing
 3. 368659 25 G x .75 in. BD Vacutainer® Push Button Blood Collection Set with 12 in. tubing</t>
  </si>
  <si>
    <t>Clorox Healthcare</t>
  </si>
  <si>
    <t>(ID#:153) Clorox Healthcare Annual Growth Incentive Program</t>
  </si>
  <si>
    <t>4052.31867C</t>
  </si>
  <si>
    <t>10% annual rebate on growth over $105% of previous year spend.</t>
  </si>
  <si>
    <t>(ID#:163) Marketshare incentive program</t>
  </si>
  <si>
    <t>OLYMPUS AMERICA INC.</t>
  </si>
  <si>
    <t>(ID#:169) Master Equipment Service Agreement w/ Rebate</t>
  </si>
  <si>
    <t>ANNUAL OLYMPUS REBATE PROGRAM
Rebate Period: Annually from the Effective Date
Rebated Products: All Olympus equipment covered under the agreement
1. Consumption Rebate:
 * Contract Consumption: This means how much you use the Olympus equipment.
 * If you use 75% to almost all of what you expected to use: You get money back, which is the difference between the Base Level Price per Scope per Year and the 75% to 99.9% Contract Consumption Rebate Payment Final Price Per Scope.
 * If you use less than 75% of what you expected to use: You get a smaller amount of money back, which is the difference between the Base Level Price per Scope per Year and the Less Than or Equal to 74.9% Contract Consumption Rebate Payment Final Price Per Scope.
2. Pricing Commitment:
 * You promise not to let anyone else fix or maintain the Olympus equipment.
 * Olympus charges you a set price for their services every year.
3. Contract Consumption Reconciliation:
 * If you use 141% or more of what you expected to use: You have to pay extra. This extra amount is the difference between the Base Level Price per Scope per Year and the Contract Consumption Reconciliation Payment Final Price Per Scope for high usage.
This can not be tracked in Valio.
Base level price needs to be confirmed with Olympus.
In simple terms:
 * "Contract Consumption" means how much you use the equipment.
 * Use 75% to almost all of what you expected = get some money back.
 * Use less than 75% = get a smaller amount of money back.
 * Only Olympus can fix and maintain the equipment.
 * Use way more than expected (141% or more) = pay extra.</t>
  </si>
  <si>
    <t>Stryker Sustainability Solutions, Inc.</t>
  </si>
  <si>
    <t>(ID#:170) Growth, Spend &amp; collection rebate</t>
  </si>
  <si>
    <t>ANNUAL STRYKER SUSTAINABILITY SOLUTIONS REBATE PROGRAM
Rebated Products: Stryker Sustainability Solutions Products
Rebate Tiers and Requirements:
 1. Spend Rebate: * Eligibility: Customer must have annual purchases from Stryker of $525,000.
     * Rebate Amount: 1% of net sales.
 2. Growth Rebate: * Incremental Growth Rebate: * Vascular Category: * 0%-16% growth: 5% rebate
           * 16%-24% growth: 6% rebate
           * 24%+ growth: 7% rebate
        * Surgical Category: * 0%-16% growth: 5% rebate
           * 16%-24% growth: 6% rebate
           * 24%+ growth: 7% rebate
        * Patient Care Category: * 0%-16% growth: 1% rebate
           * 16%-24% growth: 2% rebate
           * 24%+ growth: 3% rebate</t>
  </si>
  <si>
    <t>(ID#:172) CartioMems Purchase Rebate</t>
  </si>
  <si>
    <t>(ID#:173) Rebate A: MCG40100 - MitraClip G4 System</t>
  </si>
  <si>
    <t>(ID#:174) Rebate B: Amplatzer Talisman PEG</t>
  </si>
  <si>
    <t>(ID#:175) Rebate C: LAA</t>
  </si>
  <si>
    <t>(ID#:180) Ambu rebate</t>
  </si>
  <si>
    <t>(ID#:181) Year 1 rebate</t>
  </si>
  <si>
    <t>(ID#:182) Year 1 growth rebate</t>
  </si>
  <si>
    <t>(ID#:183) Base rebate</t>
  </si>
  <si>
    <t>(ID#:186) Combo: Semi-annual</t>
  </si>
  <si>
    <t>(ID#:187) REZUM: Annual</t>
  </si>
  <si>
    <t>(ID#:188) REZUM: Semi-annual</t>
  </si>
  <si>
    <t>(ID#:189) TheraSphere</t>
  </si>
  <si>
    <t>(ID#:191) Quarterly Peripheral OAS Rebate</t>
  </si>
  <si>
    <t>(ID#:192) Annual rebate</t>
  </si>
  <si>
    <t>(ID#:193) Annual 5% growth rebate</t>
  </si>
  <si>
    <t>(ID#:194) Rebate on Product Sales</t>
  </si>
  <si>
    <t>(ID#:195) Surgical gloves</t>
  </si>
  <si>
    <t>(ID#:196) Advanced Wound Care</t>
  </si>
  <si>
    <t>(ID#:197) Growth only rebate</t>
  </si>
  <si>
    <t>(ID#:198) Attachment Four</t>
  </si>
  <si>
    <t>(ID#:221) Family rebate (years 4-5)</t>
  </si>
  <si>
    <t>(ID#:224) Focus product base rebate</t>
  </si>
  <si>
    <t>Company</t>
  </si>
  <si>
    <t>Timing</t>
  </si>
  <si>
    <t>Start</t>
  </si>
  <si>
    <t>End</t>
  </si>
  <si>
    <t>Status</t>
  </si>
  <si>
    <t>Team</t>
  </si>
  <si>
    <t>Summary</t>
  </si>
  <si>
    <t>Watchman Corporate Incentive Program</t>
  </si>
  <si>
    <t xml:space="preserve"> Medtronic</t>
  </si>
  <si>
    <t>Quarterly IDN Rebate (1.1.24-3.31.24)</t>
  </si>
  <si>
    <t xml:space="preserve">Q2 - 2024 - Smart Coils Rebate </t>
  </si>
  <si>
    <t>Q4 - 2024 - Smart Coils Rebate</t>
  </si>
  <si>
    <t>Q3 - 2024 - Smart Coils Rebate</t>
  </si>
  <si>
    <t>One Time Payment</t>
  </si>
  <si>
    <t>Q4 2024 Tronex Isolation Gown program</t>
  </si>
  <si>
    <t>Rebate Number</t>
  </si>
  <si>
    <t>Beth Israel Medical Center</t>
  </si>
  <si>
    <t>Beth Israel Kings Highway</t>
  </si>
  <si>
    <t>Beth Israel West Village</t>
  </si>
  <si>
    <t>Beth Israel PACC</t>
  </si>
  <si>
    <t>Mount Sinai West</t>
  </si>
  <si>
    <t>Mount Sinai St. Luke's</t>
  </si>
  <si>
    <t>Mount Sinai Hospital</t>
  </si>
  <si>
    <t>Icahn School of Medicine at Mount Sinai</t>
  </si>
  <si>
    <t>Mount Sinai Queens</t>
  </si>
  <si>
    <t>Off Sites</t>
  </si>
  <si>
    <t>South Nassau</t>
  </si>
  <si>
    <t>Peripheral Intervention Rebates Mar 2022 to Aug 2022</t>
  </si>
  <si>
    <t>B. Braun Medical</t>
  </si>
  <si>
    <t>Pending support doucments</t>
  </si>
  <si>
    <t>Ck #0443199</t>
  </si>
  <si>
    <t>CRM Rebate - Q4 2022</t>
  </si>
  <si>
    <t>Watchman Rebate Q1</t>
  </si>
  <si>
    <t>Edward Lifesciences</t>
  </si>
  <si>
    <t>Q4 (TAVAR) Sapien Rebate</t>
  </si>
  <si>
    <t>Watchman - Peripheral Rebates</t>
  </si>
  <si>
    <t>Peripheral Intervention Rebates Sep 2022 to Feb 2023</t>
  </si>
  <si>
    <t>CRM Rebate - Q1 2023</t>
  </si>
  <si>
    <t>Eluvia Rebate - Jan to June 2023</t>
  </si>
  <si>
    <t>CRM Rebate - Q2 2023</t>
  </si>
  <si>
    <t>Watchman - May 23 to July 23</t>
  </si>
  <si>
    <t>Pending Support</t>
  </si>
  <si>
    <t>B. Braun (CAPS)</t>
  </si>
  <si>
    <t>Enterprise Rebate - Annual</t>
  </si>
  <si>
    <t>Check# 2175049</t>
  </si>
  <si>
    <t>B. Braun (BIS)</t>
  </si>
  <si>
    <t>Check# 0453754</t>
  </si>
  <si>
    <t>Cardiovascular Semi-Annual Rebate</t>
  </si>
  <si>
    <t>TAVR REBATE - QUARTERLY REBATE</t>
  </si>
  <si>
    <t>Duplicate payment refund MSHS PO M2003239.</t>
  </si>
  <si>
    <t xml:space="preserve">PI (Peripheral Intervention) Rebate </t>
  </si>
  <si>
    <t>DES Rebate - Feb 2023 to July 2023</t>
  </si>
  <si>
    <t>CRM Rebate Q3 2023</t>
  </si>
  <si>
    <t>Boston Sci Incentive Rebate- 2 Quarters (Feb to Apr and May to July 2023)</t>
  </si>
  <si>
    <t>Stryker Neurovascular Products Q3 Rebate</t>
  </si>
  <si>
    <t>Boston Sci - Watchman Rebate - Aug 2023 to Oct 2023</t>
  </si>
  <si>
    <t>Ach</t>
  </si>
  <si>
    <t>CAPS</t>
  </si>
  <si>
    <t>CAPS (Central Admixture Pharmacy Services) Rebate - Enterprise Initiatives Agreement Aug 2021 to July 2022 Contract # MSH-7373</t>
  </si>
  <si>
    <t>Ck # 2169349</t>
  </si>
  <si>
    <t>Aesculap Inc.</t>
  </si>
  <si>
    <t>Enterprise Initiative Agreement Rebate - Aug 2021 to July 2022 Contract # S062-ENT</t>
  </si>
  <si>
    <t>Ck # 170867</t>
  </si>
  <si>
    <t>Enterprise Initiative Agreement Rebate - Aug 2021 to July 2022 Contract # MSH-7373</t>
  </si>
  <si>
    <t>Credit Memo # 930432575</t>
  </si>
  <si>
    <t>Optimal Committed Rebate - Volume Discount Payment for Oct 21 to Sep 2022</t>
  </si>
  <si>
    <t>Ck # 0443200</t>
  </si>
  <si>
    <t>Pending support documents</t>
  </si>
  <si>
    <t>Settlement 2022</t>
  </si>
  <si>
    <t>7/1/22 to 12/31/2022 - Peri Op  Enterprise</t>
  </si>
  <si>
    <t>7/1/22 to 12/31/2022 - Med Surg Enterprise</t>
  </si>
  <si>
    <t>Bristol Meyer Squibb</t>
  </si>
  <si>
    <t>7/1/22 to 12/31/2022 - CVIR - Enterprise</t>
  </si>
  <si>
    <t>J&amp;J</t>
  </si>
  <si>
    <t>J&amp;J Spine Rebate 4/1/2022 to 3/31/2023</t>
  </si>
  <si>
    <t>Strategic Collaboration Agreement - Jan to June 2023</t>
  </si>
  <si>
    <t>Growth Rebate</t>
  </si>
  <si>
    <t>TDB</t>
  </si>
  <si>
    <t>RightSourcing, Inc.</t>
  </si>
  <si>
    <t>Q2 Rebate</t>
  </si>
  <si>
    <t>Check# 0438765</t>
  </si>
  <si>
    <t>HR</t>
  </si>
  <si>
    <t>Check# 0438764</t>
  </si>
  <si>
    <t>Stryker Sustainability Solutions PPP Rebate - Q1</t>
  </si>
  <si>
    <t>Check# 431163</t>
  </si>
  <si>
    <t>Stryker Sustainability Solutions PPP Rebate - Q2</t>
  </si>
  <si>
    <t>Check# 431405</t>
  </si>
  <si>
    <t>Aesculap, Inc.</t>
  </si>
  <si>
    <t>Check# 172197</t>
  </si>
  <si>
    <t>3M</t>
  </si>
  <si>
    <t>Maintenance Rebate - Q3</t>
  </si>
  <si>
    <t>Pending Info.</t>
  </si>
  <si>
    <t>Neuroscience Sem-Annual Rebate</t>
  </si>
  <si>
    <t>Vacutainer, Exam Gloves, Underpad, SPT, Non-SPT, All Sales, Growth</t>
  </si>
  <si>
    <t>Energy Loyalty Rebate - 8% rebate on vessel sealants. (July 2022 to June 2023)</t>
  </si>
  <si>
    <t xml:space="preserve"> $-   </t>
  </si>
  <si>
    <t>Peripheral - Ex G Rebate Program ABRE (7.27.24-10.25.24)</t>
  </si>
  <si>
    <t>Employee Reimbursement &amp; Prog Mgmt Rebate</t>
  </si>
  <si>
    <t xml:space="preserve">Total: </t>
  </si>
  <si>
    <t>4052.4128C</t>
  </si>
  <si>
    <t>IR</t>
  </si>
  <si>
    <t>IR-Cath Lab</t>
  </si>
  <si>
    <t>Peripheral Interventions Corporate Incentive Program - Eluvia Rebate (7.1.24-12.31.24)</t>
  </si>
  <si>
    <t>Urology Corporate Incentive Program - Men's Health Volume Rebate (1.1.24-12.31.24)</t>
  </si>
  <si>
    <t>PeriOP</t>
  </si>
  <si>
    <t>4052.7651C</t>
  </si>
  <si>
    <t>MedSurg portion of the MER for the period that ended 6-30-24</t>
  </si>
  <si>
    <t>Need PI-NVI-PE products to make up compliance part of rebate</t>
  </si>
  <si>
    <t xml:space="preserve"> Suture Exchange Inventory Return Credits- MSW</t>
  </si>
  <si>
    <t>Credit/Return</t>
  </si>
  <si>
    <t>Inventory Swap- Morningside</t>
  </si>
  <si>
    <t>Inventory Swap</t>
  </si>
  <si>
    <t>Inventory return credits MSH</t>
  </si>
  <si>
    <t xml:space="preserve">Jan24-Jun24 MER Rebate (Medical Surgical Portion) </t>
  </si>
  <si>
    <t xml:space="preserve">Sinai Q4 2024 - Quarterly Mobile Cart Rebate </t>
  </si>
  <si>
    <t>Surgical Wrap rebate for the period that ended 6-30-24.  This rebate pays 6% if Mount Sinai achieves a minimum of $18M in sales and also pays a 5% rebate in Year over Year growth (there was no growth for this period)</t>
  </si>
  <si>
    <t>T-TEER Per Unit Incentive Rebate Program: per unit rebate on Eligible TriClip™ System purchases.  Contract # 45257 Effective: 11/01/2023 -06/30/2025</t>
  </si>
  <si>
    <t>2024 Q4 TAVR Rebate</t>
  </si>
  <si>
    <t>Electrophysiology Corporate Incentive Program (10.1.24-12.31.24) - FARAWAVE</t>
  </si>
  <si>
    <t xml:space="preserve">$500,000 applied to Savings, not Rebates. </t>
  </si>
  <si>
    <t>Rebate comprised: Amplatzer Talisman, SH LAA, Amulet, CardioMEMS</t>
  </si>
  <si>
    <t>Strategic Collaboration Rebate (Jun 2024 - Dec 2024) $408,000 total ($203,700 paid 7/2024)</t>
  </si>
  <si>
    <t>Jan2025 Admin Fees</t>
  </si>
  <si>
    <t>Cardiac Rhythm Management Corporate Incentive Program (10.1.24-12.31.24)</t>
  </si>
  <si>
    <t>LUX-DX II+ ICM US Rebate (10.1.24-12.31.24)</t>
  </si>
  <si>
    <t>Entered new Rebate into Valio on 2/28/2025</t>
  </si>
  <si>
    <t>Structural Heart Rebate (ZCMP) 108170 7/27/2024 to 10/25/2024 - Evolut</t>
  </si>
  <si>
    <t>Stryker Neurovascular Quarterly (10.1.24-12.31.24)</t>
  </si>
  <si>
    <t>4052.6437C</t>
  </si>
  <si>
    <t>Rebate Questions: evan.tackabury@stryker.com &amp; brad.jensen@stryker.com</t>
  </si>
  <si>
    <t>Structural Heart Ex C Rebate Program CBT Unit Target (7.27.24-10.25.24)</t>
  </si>
  <si>
    <t>HEARTMATE 3 MCS (LVAS KIT) #106524US REBATE</t>
  </si>
  <si>
    <t>Watchman Corporate Incentive Program (12.1.24-2.28.25)</t>
  </si>
  <si>
    <t>Q4 2024 Rebate - 5% Growth Rebate (1/3 Payment)</t>
  </si>
  <si>
    <t>Q4 2024 Rebate - $1.59 Underpad Rebate (1/3 Payment)</t>
  </si>
  <si>
    <t>Q4 2024 Rebate - 33.06% Vacutainer Rebate (1/3 Payment)</t>
  </si>
  <si>
    <t>WL Gore</t>
  </si>
  <si>
    <t>Mount Sinai AOR Rebate (9.1.24-2.28.25)</t>
  </si>
  <si>
    <t>Premier</t>
  </si>
  <si>
    <t>Electrophysiology Corporate Incentive Program (12.1.24-2.28.25)</t>
  </si>
  <si>
    <t xml:space="preserve">Administrative Fee Shareback for the Oct - Dec 2024 period </t>
  </si>
  <si>
    <t>FEB2025 Admin Fees</t>
  </si>
  <si>
    <t>Interventional Cardiology - DES Rebate (8.1.24-1.31.25)</t>
  </si>
  <si>
    <t>Navitor Valve Per Unit Incentive Rebate (July - September 2024)</t>
  </si>
  <si>
    <t>Navitor Valve Per Unit Incentive Rebate (October - December 2024)</t>
  </si>
  <si>
    <t>Structural Heart Incentive Rebate Program on Eligible Mitra Clip Systems</t>
  </si>
  <si>
    <t>4052.13778C</t>
  </si>
  <si>
    <t>Acurity</t>
  </si>
  <si>
    <t>Peripheral Interventions Corporate Incentive Electrophysiology Rebate (11.1.24-1.31.25)</t>
  </si>
  <si>
    <t>Urology Corporate Incentive (1.1.24-12.31.24) GL/SO/MOX/REZ, MOXY, SPACEOAR, REZUM</t>
  </si>
  <si>
    <t>Was made aware of this rebate on 4.4.25</t>
  </si>
  <si>
    <t>Peripheral - Ex G Rebate Program ABRE (10.26.24-1.24.25)</t>
  </si>
  <si>
    <t>Structural Heart - Ex C Rebate Program CBT Unit Target (10.26.24-1.24.25)</t>
  </si>
  <si>
    <t>Mount Sinai rebate Q3 2024</t>
  </si>
  <si>
    <t>MER- (NS Portion) Semi-Annual (8.1.2024 - 1.31.2025) - Neuroscience</t>
  </si>
  <si>
    <t>Morning side only - New Rebate needs to be entered into Valio</t>
  </si>
  <si>
    <t>Sinai’s Q4 2024 Platinum Plus Program (PPP) Payment for recycled Platinum</t>
  </si>
  <si>
    <t>TAVR Corporate Incentive Program (9.1.24-2.28.25)</t>
  </si>
  <si>
    <t xml:space="preserve">Intuitive Surgical </t>
  </si>
  <si>
    <t>Telix Pharmaceuticals</t>
  </si>
  <si>
    <t>PP-IM-496</t>
  </si>
  <si>
    <t>Illuccix Commitment Rebate</t>
  </si>
  <si>
    <t>Structrual Heart LAA Rebate (Amplatzer/Amulet)</t>
  </si>
  <si>
    <t>This is a portion of the MER Cardiovascular Payment ($707,917.36).  The balance of the CV rebate was a statement credit of $440,000 that is being used to pay for open invoices on a piece of capital equipment (per Carlos’ and Jason’s direction).  (8.1.24-1.31.25)</t>
  </si>
  <si>
    <t>MER- (Medical Surgical) Semi-Annual (8.1.2024 - 1.31.2025)</t>
  </si>
  <si>
    <t>Electrophysiology Rebate Program (1.1.25-3.31.25) - Pulse Field Ablation Catheters</t>
  </si>
  <si>
    <t>Structural Heart - Ex F1 MS Rebate Program CBT (12/20/2024 to 1/24/2025) - MDT TAVR</t>
  </si>
  <si>
    <t>CRHF - Bulk Rebate FY25Q3 CRM DM (10/26/2024 to 1/24/2025) - Cobalt XT Defibrillators &amp; Azure Dual Chamber Pacemakers</t>
  </si>
  <si>
    <t>Mt. Sinai Rental Budget Agreement Maintenance 7% Rebate 1.1.25-3.31.25</t>
  </si>
  <si>
    <t>Q4 2024 Rebate - 5% Non-SPT Medline Rebate (2/3 Payment)</t>
  </si>
  <si>
    <t>Q4 2024 Rebate - 2% SPT Medline Rebate (1/3 Payment)</t>
  </si>
  <si>
    <t>Q4 2024 Rebate - Customer Resource Rebate (3/3 Payment)</t>
  </si>
  <si>
    <t>5 systems that met or exceeded the 80% performance in 2024: REBATE041525</t>
  </si>
  <si>
    <t>MAR2025 Admin Fees</t>
  </si>
  <si>
    <t>GE Precision Health Rebate</t>
  </si>
  <si>
    <t>Sinai’s Q1 2025 Platinum Plus Program (PPP) Payment for recycled Platinum</t>
  </si>
  <si>
    <t>AF Solutions: Ex A Rebate Program CAS (10.28.24-1.24.25)</t>
  </si>
  <si>
    <t>Q4 2024 Rebate - Exam Gloves Rebate (1/3 Payment)</t>
  </si>
  <si>
    <t>New MER (net $1M savings)</t>
  </si>
  <si>
    <t>Included in NEW MER Rebate (line 70)</t>
  </si>
  <si>
    <t>Q1-2025 Rebate Payment - Isolation Gown Program</t>
  </si>
  <si>
    <t>T-TEER Per Unit Incentive Rebate Program ($4500 per TriClip)</t>
  </si>
  <si>
    <t xml:space="preserve">	Peripheral - Bulk Rebate FY25Q3 PV (	1/25/2025 to 1/31/2025)</t>
  </si>
  <si>
    <t>Urology Corporate Incentive Program - (1.1.25-3.31.25)</t>
  </si>
  <si>
    <t>Mount Sinai Q1 2025 Rebate</t>
  </si>
  <si>
    <t>2025Q1_THVREBATE_QTR</t>
  </si>
  <si>
    <t>Rebate Description</t>
  </si>
  <si>
    <t>Meditract Description</t>
  </si>
  <si>
    <t>Nulojix 340B DSH Hospital Inpatient Agmt. and Rebate - MSH</t>
  </si>
  <si>
    <t>FARAWAVE Pulsed Field Ablation Catheter Product Agmt &amp; Rebate - MSH, MSSL connected to 4052.8623</t>
  </si>
  <si>
    <t>RFP for Cardiac Rhythm Management (CRM) Products &amp; Rebate - MSHS *commitment</t>
  </si>
  <si>
    <t>(Peripheral Covidien) Master Product and Pricing Agmt. with Rebate for Peripheral Vascular Products (Stents, PTA Balloons, Guidewires and related products) - MSHS</t>
  </si>
  <si>
    <t>Structural Heart - TAVI - Implantable and Disposable Products Purchase Agreement w/ Rebate - MSHS</t>
  </si>
  <si>
    <t>Peripheral Intervention Products (Stents - Epic &amp; Express SD/LD, Innova, Eluvia, Wallstent and Carotid Stents) &amp; Rebate - MSHS</t>
  </si>
  <si>
    <t>Discount Pricing Agmt. (Urology Products-Penile Implants) - MSHS *% commitment</t>
  </si>
  <si>
    <t>4052.15769C</t>
  </si>
  <si>
    <t>Master Product Purchase Agmt. - MSHS *rebate</t>
  </si>
  <si>
    <t>New Rebate Contract as of 3/20/25 - Needs to be entered into Valio</t>
  </si>
  <si>
    <t>(Schedule 2 to Master Agmt 4052.19462) WATCHMAN Flex Agmt. w Rebate - MSH, MSSL</t>
  </si>
  <si>
    <t xml:space="preserve">	Interventional Cardiology Products Pricing Agmt. (DES) &amp; Rebate - MSHS</t>
  </si>
  <si>
    <t>Revenue Based Rebate Agmt (Endomechanical-Access, Hernia Mechanical; Suture; Advanced Wound Care; Topical Skin Adhesive' Collagen Based Mesh; Synthetic Mesh; Absorbable Fixation; Permanent Fixation; Surgical Energy; Vessel Sealing; Electro-surgery; Ultrasonic Cutting-Sonicision; Smoke Evacuation; Disposable Wound Protection; Gynecology; OR Safety)- MSHS</t>
  </si>
  <si>
    <t>Received as of 4.4.25</t>
  </si>
  <si>
    <t>Neurovascular Products &amp; Rebate Agmt. - MSHS</t>
  </si>
  <si>
    <t>Cardio Pricing and Rebate Agmt. (Stents, Grafts, other related Products) - MSHS</t>
  </si>
  <si>
    <t>4052.30352C</t>
  </si>
  <si>
    <t>V.A.C. Ulta Therapy Unit - MSHS *commitment</t>
  </si>
  <si>
    <t>Supplier Managed Services Agmt for Premium Labor - MSHS</t>
  </si>
  <si>
    <t>Master Distribution Agreement *with Customer Resource rebate - BIMC, SLRHC, SNCH, MSH</t>
  </si>
  <si>
    <t>Enhancement Agreement w/ Underpad Rebate - MSHS</t>
  </si>
  <si>
    <t>Lock Access Product Agmt w/ Vacutainer Rebate - MSHS</t>
  </si>
  <si>
    <t>Acurity Custom Group Purchasing Agmt. (&amp; Member Agmt.) &amp; Rebate - MSHS</t>
  </si>
  <si>
    <t>4052.31867A</t>
  </si>
  <si>
    <t>Growth Incentive Program/Letter of Participation - MSHS</t>
  </si>
  <si>
    <t>4052.5862C</t>
  </si>
  <si>
    <t>Bulk Rebate/No Contract</t>
  </si>
  <si>
    <t>4052.14896C</t>
  </si>
  <si>
    <t>Removed</t>
  </si>
  <si>
    <t>New Rebate Calculated at 9.5% Return - Requested contract from CRVRebates@bsci.com REBATE ENTERED, BUT UNASSIGNED. NEW REBATE NEEDS TO BE ENTERED</t>
  </si>
  <si>
    <t>Yes, Unassigned</t>
  </si>
  <si>
    <t xml:space="preserve">Included in NEW MER Rebate  </t>
  </si>
  <si>
    <t xml:space="preserve">CRHF - Bulk Rebate FY25Q3 (10.26.24-1.24.25) 202055 </t>
  </si>
  <si>
    <t>Blavatnik - Chelsea</t>
  </si>
  <si>
    <t>APRIL2025 Admin Fees</t>
  </si>
  <si>
    <t>Cardiac Rhythm Management Corporate Incentive Program (1.1.25-3.31.25)</t>
  </si>
  <si>
    <t xml:space="preserve"> Periop</t>
  </si>
  <si>
    <t>AlloDerm, AlloDerm (RTU), Strattice, Head &amp; Neck AlloDerm Tissues - MSH, MSW, MSBI, MSBI-CCC, NYEEI, MSW, SNCH</t>
  </si>
  <si>
    <t>Yes, 5.9.25 and again 5.29.25</t>
  </si>
  <si>
    <t xml:space="preserve">Yes, 5.9.25  </t>
  </si>
  <si>
    <t>Added on 5/9/25</t>
  </si>
  <si>
    <t>Entered Payment into Valio as $147,776.80 ($109,117.60+$38,659.20)</t>
  </si>
  <si>
    <t>Peripheral Intervention (9.1.24-4.30.25) TheraSphere, I/O Sales, Fibered, Soft, and Packing Coils</t>
  </si>
  <si>
    <t>Electrophysiology Corporate Incentive Program (February 01, 2025 - April 30, 2025) - VersaCross Rebate</t>
  </si>
  <si>
    <t>Credit Memo TCAR NPS</t>
  </si>
  <si>
    <t>4052.12941C</t>
  </si>
  <si>
    <t>Radio Frequency Puncture System Agmt. - MSHS *rebate</t>
  </si>
  <si>
    <t>Product Purchase Agmt. (Wipes) - MSHS</t>
  </si>
  <si>
    <t>MAY2025 Admin Fees</t>
  </si>
  <si>
    <t>$525,000 Quarterly Credit (9/1/2024 - 11/30/2024)</t>
  </si>
  <si>
    <t>$525,000 Quarterly Credit (12/01/2024 - 02/28/2025)</t>
  </si>
  <si>
    <t>Added on 6/26/2025</t>
  </si>
  <si>
    <t>4052.16976C</t>
  </si>
  <si>
    <t>Structural Heart / Bulk Rebate Evolut Q1 SH (1/25/25-4/25/25)</t>
  </si>
  <si>
    <t>Re-entered into Valio on 6.27.25</t>
  </si>
  <si>
    <t>(ID#:437) AF Solutions: Ex A Rebate Program CAS (10.28.24-1.24.25) - Cryoablation Disposables Purchase Agmt. for Sphere 9, PulseSelect, Affera Mapping System- MSHS**rebate</t>
  </si>
  <si>
    <r>
      <rPr>
        <b/>
        <sz val="10"/>
        <color theme="1"/>
        <rFont val="Aptos Narrow"/>
        <family val="2"/>
        <scheme val="minor"/>
      </rPr>
      <t>Tier 1: 30 or more net purchases per  Medtronic fiscal quarter during the Term</t>
    </r>
    <r>
      <rPr>
        <sz val="10"/>
        <color theme="1"/>
        <rFont val="Aptos Narrow"/>
        <family val="2"/>
        <scheme val="minor"/>
      </rPr>
      <t xml:space="preserve">
Sphere 9 - $1,500 each
PulseSelect PFA Loop &amp; Arctic Front Advance CroyoAblation - $750 each
</t>
    </r>
    <r>
      <rPr>
        <b/>
        <sz val="10"/>
        <color theme="1"/>
        <rFont val="Aptos Narrow"/>
        <family val="2"/>
        <scheme val="minor"/>
      </rPr>
      <t xml:space="preserve">Tier 2: 60 or more net purchases per  Medtronic fiscal quarter during the Term
</t>
    </r>
    <r>
      <rPr>
        <sz val="10"/>
        <color theme="1"/>
        <rFont val="Aptos Narrow"/>
        <family val="2"/>
        <scheme val="minor"/>
      </rPr>
      <t xml:space="preserve">Sphere 9 - $2,000 each
PulseSelect PFA Loop &amp; Arctic Front Advance CroyoAblation - $1,000 each
</t>
    </r>
    <r>
      <rPr>
        <b/>
        <sz val="10"/>
        <color theme="1"/>
        <rFont val="Aptos Narrow"/>
        <family val="2"/>
        <scheme val="minor"/>
      </rPr>
      <t xml:space="preserve">Tier 3: 90 or more net purchases per  Medtronic fiscal quarter during the Term
</t>
    </r>
    <r>
      <rPr>
        <sz val="10"/>
        <color theme="1"/>
        <rFont val="Aptos Narrow"/>
        <family val="2"/>
        <scheme val="minor"/>
      </rPr>
      <t xml:space="preserve">Sphere 9 - $2,500 each
PulseSelect PFA Loop &amp; Arctic Front Advance CroyoAblation - $1,250 each
</t>
    </r>
  </si>
  <si>
    <t>Sage Products, LLC.</t>
  </si>
  <si>
    <t>Annual Tiered Incentive Fee Rebate (9/1/2023-8/31/2024)</t>
  </si>
  <si>
    <t>Structural Heart: Ex C Rebate Program CBT Unit Target (1/25/25-4/25/25)</t>
  </si>
  <si>
    <t>Peripheral: Ex G Rebate Program ABRE (1/25/25-4/25/25)</t>
  </si>
  <si>
    <t xml:space="preserve">Q1 2025 - Customer Resource Rebate (3/3 Payment) </t>
  </si>
  <si>
    <t>Cordis</t>
  </si>
  <si>
    <t>Credit Memo (-10 / MynxGrip Vascular Closure Devi)</t>
  </si>
  <si>
    <t>Q1 2025 - 6% Non-SPT Medline Rebate (1/3 Payment)</t>
  </si>
  <si>
    <t>Q1 2025 - 3% SPT Medline Rebate (2/3 Payment)</t>
  </si>
  <si>
    <t>Q1 2025 - 5% Growth Rebate (2/3 Payment)</t>
  </si>
  <si>
    <t>Q1 2025 - $1.59 Underpad Rebate (2/3 Payment)</t>
  </si>
  <si>
    <t>Q1 2025 - 33.06% Vacutainer Rebate (2/3 Payment)</t>
  </si>
  <si>
    <t>Q1 2025 - 5% Exam Glove Rebate (2/3 Payment)</t>
  </si>
  <si>
    <t>Electrophysiology Rebate: Farawave Non Nav, Farawave Nav Rebate 1 &amp; 2 (3/1/25-5/31/25)</t>
  </si>
  <si>
    <t>4052.35277C</t>
  </si>
  <si>
    <t>Q1 Pulse Oximeters Rebate (11.1.24-1.31.25)</t>
  </si>
  <si>
    <t>Structural Heart: Ex F1 MS Rebate Program CBT (1/25/2025 to 4/25/2025) - Evolut FX+ Valve TAV</t>
  </si>
  <si>
    <t xml:space="preserve">Diagnostics: Bulk Rebate FY25Q4 CDS  (1/25/2025 to 4/25/2025) </t>
  </si>
  <si>
    <t>Rental Budget Agreement Maintenance Rebate (4/1/25-6/30/25)</t>
  </si>
  <si>
    <t>Mount Sinai NY Annual Rebate Dec 2023-Nov 2024</t>
  </si>
  <si>
    <t>Electrophysiology Corporate Incentive Program (April 01, 2025 - June 30, 2025)</t>
  </si>
  <si>
    <t>Neuroscience: SPN, TYS &amp; BMP (6/17/2024 - 6/16/2025)</t>
  </si>
  <si>
    <t>Mount Sinai Q2 2025 Rebate</t>
  </si>
  <si>
    <t>Q2-2025 Rebate - earned 3% rebate for 80% standardization</t>
  </si>
  <si>
    <t>Entered 7.30.25 into Valio</t>
  </si>
  <si>
    <t>June 2025 Admin Fees</t>
  </si>
  <si>
    <t>Entered 7.31.25 into Valio</t>
  </si>
  <si>
    <t>Steering</t>
  </si>
  <si>
    <t>6-Month Growth Incentive Program (June-Nov. 2024)</t>
  </si>
  <si>
    <t>4052.25671A</t>
  </si>
  <si>
    <t>ARCHIVED</t>
  </si>
  <si>
    <t>Annual rebate on growth over last year's spend
 * Tier 1: 3% rebate on growth when growth is between $167,000 - $197,999
 * Tier 2: 6% rebate on growth when growth is between $198,000 - $230,999
 * Tier 3: 9% rebate on growth when growth is between $231,000 - $263,999
 * Tier 4: 12% rebate on growth when growth is $264,000 +</t>
  </si>
  <si>
    <t>Rebate Period (Start Date)</t>
  </si>
  <si>
    <t>Rebate Period (End Date)</t>
  </si>
  <si>
    <t>Valio Rebate ID #</t>
  </si>
  <si>
    <t>Contract (Start Date)</t>
  </si>
  <si>
    <t>Contract (End Date)</t>
  </si>
  <si>
    <t>Master Agreement (Trocar, Instrumentation &amp; Ligation and Other EndoMechanical; Surgical Energy; Specified Energy) &amp; Rebate - MSHS * commitment</t>
  </si>
  <si>
    <t xml:space="preserve">	FARAWAVE Pulsed Field Ablation Catheter Product Agmt &amp; Rebate - MSH, MSSL connected to 4052.8623</t>
  </si>
  <si>
    <t>Annual BMS NULOJIX Rebate - Quarterly Units Administered to Nulojix Patients</t>
  </si>
  <si>
    <t>Auto Renewal in Place, Emailed BMS 8.13.25</t>
  </si>
  <si>
    <t>Rebate Frequency</t>
  </si>
  <si>
    <t>New Rebate entered into Valio - 8/13/25</t>
  </si>
  <si>
    <t>Telix Pharmaceuticals (US), Inc. (PP-IM-496) PRODUCT CATEGORY: PET Isotopes</t>
  </si>
  <si>
    <t xml:space="preserve">	Disposable Non-Sterile Protective Apparel Purchasing Agreement with Rebate - MSHS</t>
  </si>
  <si>
    <t>Due 1 more rebate for 24-25</t>
  </si>
  <si>
    <t xml:space="preserve">	Enterprise Rebate Program - Related to products on Covidien's Product Agreement (contract#​4052.12590C)​ - MSHS</t>
  </si>
  <si>
    <t>Semi-Annual</t>
  </si>
  <si>
    <t>Coloplast Men's Health Rebate 2.5% on Target $2.5M</t>
  </si>
  <si>
    <t xml:space="preserve">	Structural Hearts Products &amp; Min. Commitment Rebate - MSHS (Formerly St. Jude Medical)</t>
  </si>
  <si>
    <t xml:space="preserve">	Pricing Agmt. w/ Rebate for SAPIEN Transcatheter Heart Valves and Accessories - MSH</t>
  </si>
  <si>
    <t>13/31/2026</t>
  </si>
  <si>
    <t xml:space="preserve">	Strategic Collaboration Rebate Agmt - MSHS</t>
  </si>
  <si>
    <t>Catheter Based Therapies (CBT) and Rebate - MSH, MSSL</t>
  </si>
  <si>
    <t>Unassigned</t>
  </si>
  <si>
    <t xml:space="preserve">	Product Pricing Agmt. for HeartMate 3 LVAD Implant System and related Products &amp; Rebate - MSHS (takes place of 1/1/18 agmt., also in this record)</t>
  </si>
  <si>
    <t xml:space="preserve">	Electrophysiology Products &amp; Rebate (Catheters) - MSHS</t>
  </si>
  <si>
    <t xml:space="preserve">	Exam Glove Rebate Amdt (only)- MSHS</t>
  </si>
  <si>
    <t xml:space="preserve">	Product Agmt w/ Rebate - MSHS (Annual Spend must be $525,000.00 for Rebate Eligibility)</t>
  </si>
  <si>
    <t xml:space="preserve">	GPO Participation Agmt. &amp; One Time Rebate - MSH</t>
  </si>
  <si>
    <t>Payment not tracked in Valio</t>
  </si>
  <si>
    <t>Interventional Cardiology Products (Core Interventional Cardiology Products) w/ Rebate - MSHS</t>
  </si>
  <si>
    <t>Cryoablation Disposables Purchase Agmt. for Sphere 9, PulseSelect, Affera Mapping System- MSHS**rebate</t>
  </si>
  <si>
    <t>Peripheral Intervention Products (Core PI Products) **and BTG Therasphere and related products - MSHS *rebate exp. 4/30/27</t>
  </si>
  <si>
    <t>Product Purchase Agmt. (Transcarotid Stents) - MSHS</t>
  </si>
  <si>
    <t xml:space="preserve">	Medical and Dental Product Purchase Agreement (Prevalon, PrimaFit, Toothette, Q-Care, etc.) - MSHS</t>
  </si>
  <si>
    <t>Valio cannot track. Add Rebate Payments Only</t>
  </si>
  <si>
    <t>Contact:  Swopna Gangadharan</t>
  </si>
  <si>
    <t xml:space="preserve">	6/1/2024</t>
  </si>
  <si>
    <t>Local Market Member Designation Form (Vascular Closure Devices) - MSHS</t>
  </si>
  <si>
    <t>Advanced Energy Products Agreement 12.21.23 MSHS</t>
  </si>
  <si>
    <t>Boston Sci has acquired Silk Road devices and it’s a price adjustment - J.A.</t>
  </si>
  <si>
    <t>One-Off</t>
  </si>
  <si>
    <t>No Contract - Agreement only</t>
  </si>
  <si>
    <t>Contract</t>
  </si>
  <si>
    <t xml:space="preserve">Two Quarterly Payments </t>
  </si>
  <si>
    <t>One-off</t>
  </si>
  <si>
    <t xml:space="preserve">	Product (Vascular Products) Agmt - MSHS</t>
  </si>
  <si>
    <t>CardioMEMS Quantity Purchase Agmt. &amp; Rebate - MSHS (now Abbott)</t>
  </si>
  <si>
    <t>(Consignment) SMART Coils - MSHS</t>
  </si>
  <si>
    <t>Q4 - 2023 - Smart Coils Rebate</t>
  </si>
  <si>
    <t>2024 Q2 TAVR REBATE</t>
  </si>
  <si>
    <t>2024 Q1 TAVR REBATE</t>
  </si>
  <si>
    <t>2023 Q4 TAVR REBATE</t>
  </si>
  <si>
    <t>4046.21856C</t>
  </si>
  <si>
    <t>Pricing Agmt. w/ Rebate for SAPIEN Transcatheter Heart Valves and Accessories - MSSL</t>
  </si>
  <si>
    <t>Supplemental Rebate - MSM only</t>
  </si>
  <si>
    <t xml:space="preserve">DePuy Synthes </t>
  </si>
  <si>
    <t>PP-CA-3626</t>
  </si>
  <si>
    <t xml:space="preserve">	Supplier Managed Services Agmt for Premium Labor - MSHS</t>
  </si>
  <si>
    <t xml:space="preserve">deduct $875k from the amount you add to the rebates sheet. We’ve already counted (4 payments of $875k each) = $3.5 as part of our savings. It was a one time rebate that we got this year and able to capture as savings. </t>
  </si>
  <si>
    <t>Natissa will provide rebate amount to claim</t>
  </si>
  <si>
    <t>PI Eluvia Rebate (1.1.24-6.30.24)</t>
  </si>
  <si>
    <t>Interventional Cardiology Products (Coronary Balloons) - MSHS *rebate</t>
  </si>
  <si>
    <t>4052.8821C</t>
  </si>
  <si>
    <t>​Coronary and Peripheral Interventional Products &amp; Rebate Agmt. - MSHS</t>
  </si>
  <si>
    <t xml:space="preserve">	12/31/2026</t>
  </si>
  <si>
    <t>(J&amp;J Codman IDN) Neurovascular Products Agreement - MSHS *rebate*</t>
  </si>
  <si>
    <t>Master Purchase Agmt. for Neuromodulation and Surgical Tech Products (Pricing Schedules attached for Concerto Coils; Axium &amp; Pipeline Flex; Spinal, BMP &amp; Tissue Synth Prods.; Kyphon Prods.) - MSHS</t>
  </si>
  <si>
    <t>Evolut Rebate - Q2 2024</t>
  </si>
  <si>
    <t>Cardiac Rhythm Management (CRM) Products (Brady Leads and related products) &amp; Rebate - MSHS</t>
  </si>
  <si>
    <t>Cardiac Rhythm Heart Failure (CRHF) Products Rebate Agmt. - MSHS</t>
  </si>
  <si>
    <t>4052.12317A</t>
  </si>
  <si>
    <t xml:space="preserve">	Acurity Custom Group Purchasing Agmt. (&amp; Member Agmt.) &amp; Rebate - MSHS</t>
  </si>
  <si>
    <t xml:space="preserve">	Product Purchase Agmt. (Holders) - MSHS</t>
  </si>
  <si>
    <t>Use, License, and Service Agmt.-Placement of 7 daVinci Systems (MA-737-2018) with Rebate - MSW, MSH</t>
  </si>
  <si>
    <t>4052.16069C</t>
  </si>
  <si>
    <t>Two Year Product Agmt. w/ Rebate (Tethers) - MSH</t>
  </si>
  <si>
    <t xml:space="preserve">	Enterprise Initiatives Agmt. (B. Braun Medical, Aesculap, Aesculap Implant Systems, B. Braun Interventional Systems, Central Admixture Pharmacy Svcs) - MSHS *commitment &amp; rebate</t>
  </si>
  <si>
    <t>($587.27) is a combination of Q2 &amp; Q3 2024. Due to a change in our ERP system, these payments were combined &amp; processed together for these quarters.</t>
  </si>
  <si>
    <t>2025Q2_THVREBATE_QTR</t>
  </si>
  <si>
    <t>Disposable Non-Sterile Protective Apparel Purchasing Agreement with Rebate - MSHS</t>
  </si>
  <si>
    <t>Q3-2024 3% Net Sales Rebate</t>
  </si>
  <si>
    <t xml:space="preserve">Book the $31,338 invoice credit towards rebates - Jason Smith </t>
  </si>
  <si>
    <t>4052.8499C</t>
  </si>
  <si>
    <t>(Master Sales and Service Agmt. 1000000057) Endoscopy Products and OR1 Systems Equipment - MSHS ** Pricing for Products is effective through 8/13/2026 *market share</t>
  </si>
  <si>
    <t>Captured as Savings in July, not Rebates</t>
  </si>
  <si>
    <t>4047.31115C</t>
  </si>
  <si>
    <t>Earned Purchase Credit Agreement (Rebate) MSW</t>
  </si>
  <si>
    <r>
      <t xml:space="preserve">Ligasure Rebate - $ 529,445.14 for the D4C Energy rebate Mount Sinai earned for the period that ended 6-30-24 (part of the original rebate structure). -	
</t>
    </r>
    <r>
      <rPr>
        <b/>
        <sz val="10"/>
        <color theme="1"/>
        <rFont val="Calibri"/>
        <family val="2"/>
      </rPr>
      <t>a 8% rebate on all Vessel Sealing spend at 90% compliance OR 5% rebate on all Vessel Sealing spend at 80% compliance</t>
    </r>
  </si>
  <si>
    <t>Meditract Contract Description</t>
  </si>
  <si>
    <t>4052.29192A</t>
  </si>
  <si>
    <t xml:space="preserve">	Integrated Diagnostic Solutions Rebate Agmt - MSHS</t>
  </si>
  <si>
    <t>John Barry Looking into</t>
  </si>
  <si>
    <t>Mount Sinai had 6 robotic systems that met/exceeded the 80% target which entitled them to a collective $50K rebate:</t>
  </si>
  <si>
    <t xml:space="preserve">Credit Memo not tied to rebate. </t>
  </si>
  <si>
    <t xml:space="preserve">Sinai Q1 2025 - Quarterly Mobile Cart Rebate </t>
  </si>
  <si>
    <t>July 2025 Admin Fees</t>
  </si>
  <si>
    <t>Strategic Collaboration Corporate Rebate (Jan-June 2025)</t>
  </si>
  <si>
    <t>Based upon current trend, we expect your year-end total payment to be $444K.</t>
  </si>
  <si>
    <t>This rebate is link to the CRM Boston Sci Rebate Meditract #4052.4128. - JA</t>
  </si>
  <si>
    <t>September 2024 Admin Fees</t>
  </si>
  <si>
    <t>October 2024 Admin Fees</t>
  </si>
  <si>
    <t>Peripheral Interventions Corporate Incentive Program (5/1/2025-7/31/2025) - Electrophysiology - VersaCross</t>
  </si>
  <si>
    <t>4052.8819C</t>
  </si>
  <si>
    <t>Trek, DES, BMS Agmt. (#34107) - MSHS Under MSA 4052.30727C</t>
  </si>
  <si>
    <t>3 Quarterly Payments ($43,500, $37,000, $50,250)</t>
  </si>
  <si>
    <t>3 Quarterly Payments ($61,750, $21,750, $25,000)</t>
  </si>
  <si>
    <t>Tether Rebate for Q2 2023 through Q4 2023</t>
  </si>
  <si>
    <t>Wingset renewal sent by S.D. 9.5.25</t>
  </si>
  <si>
    <t xml:space="preserve">Q2 2025 - Customer Resource Rebate </t>
  </si>
  <si>
    <t>Q2 2025 - 6% Non-SPT Medline Rebate</t>
  </si>
  <si>
    <t>Q2 2025 - 3% SPT Medline Rebate</t>
  </si>
  <si>
    <t>Q2 2025 - 5% Growth Rebate</t>
  </si>
  <si>
    <t>Q2 2025 - $1.59 Underpad Rebate</t>
  </si>
  <si>
    <t>Q2 2025 - 33.06% Vacutainer Rebate</t>
  </si>
  <si>
    <t>Q2 2025 - 5% Exam Glove Rebate</t>
  </si>
  <si>
    <t>Contractual Rebate Component(s)</t>
  </si>
  <si>
    <t>N/A</t>
  </si>
  <si>
    <t>ANNUAL TRONEX REBATE PROGRAM
Rebated Products: Disposable Non-Sterile Protective Apparel (Isolation Gowns)
 1. Rebate Calculation: * Rebate Percentage: 3% rebate on all Products listed in Exhibit A
     * Eligibility: Mount Sinai must commit at least 80% of its annual isolation gown category spend to Tronex.    
 2. Buffer Inventory &amp; Storage Fees: * Buffer Fees: Tronex will pay $50,000 annually, disbursed in quarterly installments of $12,500.
     * Conditions: Mount Sinai must maintain an agreed inventory level and notify Tronex of changes in volume.
     * Buffer fee not tracked in Valio because not on POH</t>
  </si>
  <si>
    <t>3% Admin Fee</t>
  </si>
  <si>
    <t>$525K Quarterly Credit</t>
  </si>
  <si>
    <t>Men's Health Rebate 2.5% on Target $2.5M</t>
  </si>
  <si>
    <t>8% rebate on all Vessel Sealing spend at 90% compliance 
OR
 5% rebate on all Vessel Sealing spend at 80% compliance</t>
  </si>
  <si>
    <t>Requires 90% compliance on surgical energy and specified energy markets</t>
  </si>
  <si>
    <t>Surgical Energy Ligasure Rebate
Tier 1: 4%
Tier 2: 6%
Requires 90% compliance on surgical energy and specified energy markets
May need manual verification:
If the Customer’s Net Purchases of the Specified Energy Products that (i) have 510(k) clearance to be reprocessed and (ii) are available through Customer’s reprocessor (collectively, the “Reprocessable Products”), equal or exceed 50% of the Customer’s Net Purchases of the Ligasure™ disposable products under this Agreement, Customer will be eligible for a six percent (6%) Compliance Rebate (in lieu of the 4% compliance rebate) during the subsequent Contract Year, subject to achieving all of the compliance requirements required for payment of the Compliance Rebate.</t>
  </si>
  <si>
    <t>Quarterly Rebate: 
Quarterly Rebate (Purchase 16+ MitraClip Systems = 3% Rebate)
Quarterly Rebate (Purchase 21+ MitraClip Systems = 5% Rebate)
Quarterly Rebate (Purchase 21+ Amplatzer Talisman = 3% Rebate)
Quarterly Rebate (Purchase 25+ MitraClip Systems = 5% Rebate)
Quarterly Rebate (Purchase 10+ Amulet units = $15,000 credit per unit)</t>
  </si>
  <si>
    <t>Quarterly Volume Rebate
8-19 Units = $750 Rebate Per Unit
20-29 Units = $1,000 Rebate Per Unit
30-39 Units = $1,500 Rebate Per Unit
40-49 Units = $2,000 Rebate Per Unit
50-64 Units = $2,500 Rebate Per Unit
65-74 Units = $3,000 Rebate Per Unit
75-84 Units = $3,500 Rebate Per Unit
85+ Units = $4,000 Rebate Per Unit</t>
  </si>
  <si>
    <t xml:space="preserve">Quarterly Farapulse Rebate
Tier 1: 24-35 Units = $1,000 Per Unit
Tier 2: 36-47 Units = $1,500 Per Unit
Tier 3: 48-59 Units = $1,750 Per Unit
Tier 4: 60+ Units = $2,000 Per Unit
</t>
  </si>
  <si>
    <t>Semi-Annual Eluvia Rebate:
Tier 1: Spend $1.25M-$2.49M = $50/ea
Tier 2: Spend $2.5M-$3.74M = $75/ea
Tier 3: Spend $3.75M+ = $100/ea</t>
  </si>
  <si>
    <t>Spend between $2,750,000 - $2,999,999 in BSC CRM purchases based on quarterly net dollar volume or 55% BSC CRM market share based on quarterly implants, each member of MOUNT
SINAI ENTITIES shall receive a rebate of 2% on that member’s BSC CRM Brady &amp; CRTP purchases and a rebate of 2% on that member’s BSC CRM ICD &amp; CRTD purchases and a rebate of2% on that member’s BSC CRM SICD purchases for the rebate period. 
OR
If MOUNT SINAI ENTITIES, in aggregate, achieves between $3,000,000 - $3,499,999 in BSC CRM purchases based on quarterly net dollar volume or between 60% - 69% BSC CRM market share based on quarterly implants, each member of MOUNT SINAI ENTITIES shall receive a rebate of 3.5% on that member’s BSC CRM Brady &amp; CRTP purchases and a rebate of 9.5% on that member’s BSC CRM ICD &amp; CRTD purchases and a rebate of 11.5% on that member’s BSC CRM SICD purchases for the rebate period.
OR
_x0002_If MOUNT SINAI ENTITIES, in aggregate, achieves between $3,500,000 - $3,999,999 in BSC CRM purchases based on quarterly net dollar volume or between 70% - 79% BSC CRM market share based on quarterly implants, each member of MOUNT SINAI ENTITIES shall receive a rebate of 5% on that member’s BSC CRM Brady &amp; CRTP purchases and a rebate of 12% on that member’s BSC CRM ICD &amp; CRTD purchases and a rebate of 11.5% on that member’s BSC CRM SICD purchases for the rebate period.
OR
_x0002_If MOUNT SINAI ENTITIES, in aggregate, achieves at least $4,000,000 in BSC CRM purchases based on quarterly net dollar volume or at least 80% BSC CRM market share based on quarterly implants, each member of MOUNT SINAI ENTITIES shall receive a rebate of 10% on that member’s BSC CRM Brady &amp; CRTP purchases and a rebate of 15% on that member’s BSC CRM ICD &amp; CRTD purchases and a rebate of 11.5% on that member’s BSC CRM SICD purchases for the rebate period.</t>
  </si>
  <si>
    <t>Tier 1: Min 30 Net Purchases
Sphere = $1,500/ea     PulseSelect &amp; Arctic Front Advanced Pro = $750/ea
Tier 2: Min 60 Net Purchases
Sphere = $2,000/ea     PulseSelect &amp; Arctic Front Advanced Pro = $1,000/ea
Tier 3: Min 90 Net Purchases
Sphere = $2,500/ea     PulseSelect &amp; Arctic Front Advanced Pro = $1,250/ea</t>
  </si>
  <si>
    <t>Tier 1: 50-99 Units = 3% Rebate
Tier 2: 100+ Units = 10% Rebate</t>
  </si>
  <si>
    <t xml:space="preserve"> * Rebate Period: Every six months from the Effective Date</t>
  </si>
  <si>
    <t xml:space="preserve"> * Rebated Products: Cardiovascular, Medical Surgical, and Neuroscience portfolios</t>
  </si>
  <si>
    <t xml:space="preserve"> * Tier 1: Semi-Annual Rebate Target: $32,500,000 | Annualized Rebate Target: $65,000,000 | Rebate Percentage: 2.5% | Applicable Portfolios: Cardiovascular, Medical Surgical, Neuroscience</t>
  </si>
  <si>
    <t xml:space="preserve"> * Tier 2: Semi-Annual Rebate Target: $37,500,000 | Annualized Rebate Target: $75,000,000 | Rebate Percentage: 3.5% | Applicable Portfolios: Cardiovascular, Medical Surgical, Neuroscience</t>
  </si>
  <si>
    <t>Year 2:</t>
  </si>
  <si>
    <t xml:space="preserve"> * Tier 1: Semi-Annual Rebate Target: $34,500,000 | Annualized Rebate Target: $69,000,000 | Rebate Percentage: 2.5% | Applicable Portfolios: Cardiovascular, Medical Surgical, Neuroscience</t>
  </si>
  <si>
    <t xml:space="preserve"> * Tier 2: Semi-Annual Rebate Target: $39,500,000 | Annualized Rebate Target: $79,000,000 | Rebate Percentage: 4.5% | Applicable Portfolios: Cardiovascular, Medical Surgical, Neuroscience</t>
  </si>
  <si>
    <t xml:space="preserve"> * Tier 2: Semi-Annual Rebate Target: $42,000,000 | Annualized Rebate Target: $84,000,000 | Rebate Percentage: 4.5% | Applicable Portfolios: Cardiovascular, Medical Surgical, Neuroscience</t>
  </si>
  <si>
    <t>Non-Contract</t>
  </si>
  <si>
    <t>MSHS enrolled in PPP program. Price of the platinum is based on catheter category. Fixed, steerables, specialty or ablation. Platinum Credit for quarter must equal or exceed $250 in order for us to process a payment.</t>
  </si>
  <si>
    <t>Sinai’s Q1 2025 Platinum Plus Program (PPP) Payment for recycled Platinum
 (11.1.2023-10.31.2024 Remaining Amount Due)</t>
  </si>
  <si>
    <t>.33% All Sales (Year 1-3) No Minimum</t>
  </si>
  <si>
    <t>Quarterly OAS Credit
Tier 1: 71-99 Units = $600/each
Tier 2: 100-119 Units = $1,070/each
Tier 3: 120+ Units = $1,145/each</t>
  </si>
  <si>
    <t xml:space="preserve"> * BMP Rebate: 10% | Min: $850,000
 *  Kyphoplasty balloons: 6.25% | Min: $144,000</t>
  </si>
  <si>
    <t>Ligasure Rebate
Tier 1: 4%
Tier 2: 6%
Requires 90% compliance on surgical energy and specified energy markets
Customer’s reprocessor (collectively, the “Reprocessable Products”), equal or exceed 50% of the Customer’s Net Purchases of the Ligasure™ disposable products under this Agreement, Customer will be eligible for a six percent (6%) Compliance Rebate (in lieu of the 4% compliance rebate) during the subsequent Contract Year, subject to achieving all of the compliance requirements required for payment of the Compliance Rebate.</t>
  </si>
  <si>
    <t>4500 Unit Target Volume = $5/each Rebate</t>
  </si>
  <si>
    <t>Mount Sinai must purchase, in the aggregate, a minimum of five Y mesh per Quarter</t>
  </si>
  <si>
    <t>Quarterly Rebate:
Tier 1: 3% Rebate (50-99 Units)
Tier 2: 10% Rebate (100+ Units)</t>
  </si>
  <si>
    <t>$150 Rebate Per Unit Quarterly Rebate</t>
  </si>
  <si>
    <t>Additional Volume Discount. 
Purchase from B.Braun at least (a) 80% of its entire annual requirements of all Products and all functionally-equivalent products in each of the IV Solutions, Drug Delivery, Premixed Drugs and Irrigation Solutions product categories (collectively, the “Required Product Categories”), plus (b) 80% of its entire annual requirements of all Products and all functionally-equivalent products in each ofthe optional product categories selected by Participating Member below (each, an “Optional Committed Category”), if any, during each Contract Year during the term ofthe PMDF and the LOC (the “Rebate Requirements”):</t>
  </si>
  <si>
    <t>Annual rebate of $0.10 rebate on 3 products</t>
  </si>
  <si>
    <t>Loyalty Rebate: 2% of total sales</t>
  </si>
  <si>
    <t>Hydropearl Rebate: $25 per unit</t>
  </si>
  <si>
    <t>1-2% rebate depending on the product category (19 different categories), each with their own spend requirement. Minimum total aggregate spend must be at least $16,626,537 to recieve the rebates.</t>
  </si>
  <si>
    <t>3% Rebate on $500,000+ Annual Volume</t>
  </si>
  <si>
    <t>American Sign Language, Inc.</t>
  </si>
  <si>
    <t>(ID#:542) On-Site Interpretation Services Rebate</t>
  </si>
  <si>
    <t>4052.18139C</t>
  </si>
  <si>
    <t>EVERGREEN</t>
  </si>
  <si>
    <t>Tier 1: 6% Rebate ($50,000-$74,999)
Tier 2: 8% Rebate ($75,000-$99,999)
Tier 3: 10% Rebate ($100,000-$124,999)
Tier 4: 11% Rebate ($125,000-$149,999)
Tier 5: 12% Rebate ($150,000+)</t>
  </si>
  <si>
    <t xml:space="preserve">
Advanced Accelerator Applications USA, Inc.</t>
  </si>
  <si>
    <t>(ID#:543) NETSPOT Rebate Agmt - MSH</t>
  </si>
  <si>
    <t>4052.21065C</t>
  </si>
  <si>
    <t>Tier 1: Quarterly Target of Eligible Unit Purchases (52-58) = 5% Rebate
Tier 2: Quarterly Target of Eligible Unit Purchases (59-65) = 10% Rebate
Tier 3: Quarterly Target of Eligible Unit Purchases (66-71) = 20% Rebate
Tier 4: Quarterly Target of Eligible Unit Purchases (72+) = 30% Rebate</t>
  </si>
  <si>
    <t>Cardinal Health</t>
  </si>
  <si>
    <t xml:space="preserve">
(ID#:548) Radiopharmaceutical Distribution Agmt.(MPI Agents, Tc99 Products, etc.) - MSHS *commitment/rebate</t>
  </si>
  <si>
    <t>4052.4710C</t>
  </si>
  <si>
    <t>Tier 1: Spend 2 Million to &lt; 2.5 Million = 5% Rebate
Tier 2: Spend 2.5 Million to &lt; 3 Million = 6% Rebate
Tier 3: Spend 3 Million+ = 7% Rebate</t>
  </si>
  <si>
    <t>Triumvirate Environmental, Inc.</t>
  </si>
  <si>
    <t xml:space="preserve">
(ID#:559) Environmental Services Agmt (Hazardous Waste Disposal and Other Services) - MSHS *rebate</t>
  </si>
  <si>
    <t>4052.3138C</t>
  </si>
  <si>
    <t>8% Customer Rebate</t>
  </si>
  <si>
    <t>WG CRITICAL CARE REBATE PROGRAM
Rebated Products: Levetiracetam in Sodium Chloride Injection
 1. Rebate Calculation: * Rebate Percentage: 10% rebate on eligible product purchases.
     * Eligible Products and Rebate Amounts: * Levetiracetam in 0.82% Sodium Chloride Injection, 500mg/100mL
        * Levetiracetam in 0.75% Sodium Chloride Injection, 1000mg/100mL
        * Levetiracetam in 0.54% Sodium Chloride Injection, 1500mg/100mL
Conditions:
 * Eligibility: Must maintain an 85% or greater Aggregate Rebate Compliance Purchase Level of all measured products during a measurement period.
 * Measurement Period: Calendar quarter starting on the program effective date.</t>
  </si>
  <si>
    <t>4052.29924E</t>
  </si>
  <si>
    <t>4052.16068A</t>
  </si>
  <si>
    <t xml:space="preserve">
Boston Scientific</t>
  </si>
  <si>
    <t>(ID#:165) FLX Volume Discount Rebate - Exp 2026</t>
  </si>
  <si>
    <t xml:space="preserve"> Tier 1: Purchase 18-35 Units = $1000/each
 Tier 2: Purchase  36+ Units = $2000/each</t>
  </si>
  <si>
    <t xml:space="preserve">
(ID#:184) Rebate Program #2: WATCHMAN FLX Pro™ CRM &amp; IC</t>
  </si>
  <si>
    <t>Spend $2,250,000 = $2000/each</t>
  </si>
  <si>
    <t xml:space="preserve">
(ID#:394) Catheter Return Credit Program Agreement Rebate $200/ Per Unit</t>
  </si>
  <si>
    <t>4052.35091C</t>
  </si>
  <si>
    <t>Return Credit Program Agreement Rebate $200/ Per Unit</t>
  </si>
  <si>
    <t xml:space="preserve">
(ID#:395) Rebate 2: Compliance Rebate - 2.5% rebate on Boston Scientific CRM net dollar volume purchases during the criteria period</t>
  </si>
  <si>
    <t>2.5% rebate on Boston Scientific CRM net dollar volume purchases during the criteria period</t>
  </si>
  <si>
    <t xml:space="preserve">
(ID#:397) Rebate l: M-TEER Per Unit Incentive Rebate Program</t>
  </si>
  <si>
    <t>95% Market Share on all M-TEER products purchased on a quarterly basis = $1,750/each</t>
  </si>
  <si>
    <t>Balt USA, LLC</t>
  </si>
  <si>
    <t>(ID#:544) Product Purchase Agmt. (Optima, Barricade Coils) - MSHS *rebate</t>
  </si>
  <si>
    <t>4052.17868C</t>
  </si>
  <si>
    <t>Tier 1: 15% rebate - range of $100,000 to $174,999
Tier 2: 25% rebate (+10% on top of tier 1) - range of $175,000+</t>
  </si>
  <si>
    <t>BIOTRONIK, INC.</t>
  </si>
  <si>
    <t xml:space="preserve">
(ID#:546) CRM Agreement &amp; Rebate Program (Bradycardia &amp; Tachycardia Leads, CRT Prods) - MSHS *rebate</t>
  </si>
  <si>
    <t>4052.4133C</t>
  </si>
  <si>
    <t>Tier 1:  Quarterly Spend Target ($300,000.00-499,999.99) = 10% Rebate back to dollar one	
Tier 2:  Quarterly Spend Target ($500,000.00+) = 15% Rebate back to dollar one</t>
  </si>
  <si>
    <t xml:space="preserve">
(ID#:553) Coronary Products Agmt. - MSHS *market share rebate</t>
  </si>
  <si>
    <t>4052.2983C</t>
  </si>
  <si>
    <t>Medtronic Market Share &gt; 70% = $150 REBATE/EACH</t>
  </si>
  <si>
    <t>4052.3784C</t>
  </si>
  <si>
    <t xml:space="preserve">Model 5392: Trade-In Rebate = $1,220
Model 5391: Trade-In Rebate = $540
Catheter Based Therapies = 80% or more MDT Marketshare = 7.7% Rebate
</t>
  </si>
  <si>
    <t>(ID#:556) (IRB Trial) CoreValve U.S. SURTAVI Study - MSH</t>
  </si>
  <si>
    <t>Spectranetics</t>
  </si>
  <si>
    <t xml:space="preserve">
(ID#:558) (Stellarex DCB/Turbo Elite) Product Purchase Agmt. - MSHS *rebate</t>
  </si>
  <si>
    <t>4052.11945C</t>
  </si>
  <si>
    <t>Quarterly Purchasing Customer Unit Volume Threshold (40-59 Units) = 5% Rebate
Quarterly Purchasing Customer Unit Volume Threshold (60-99 Units) = 10% Rebate
Quarterly Purchasing Customer Unit Volume Threshold (100+ Units) = 15% Rebate</t>
  </si>
  <si>
    <t xml:space="preserve"> Tier 1: 3% rebate ($600,000 - $659,999)
  Tier 2: 4% rebate ($660,000 - $719,999)
 Tier 3: 5% rebate ($720,000+)</t>
  </si>
  <si>
    <t>(ID#:390) New Rebate LY Target $165,000 (May 1, 2025 - April 30, 2027)</t>
  </si>
  <si>
    <t>Annual rebate on growth over last year's spend
 * Tier 1: 3% rebate on growth when growth is between $165,000 - $197,999
 * Tier 2: 6% rebate on growth when growth is between $198,000 - $230,999
 * Tier 3: 9% rebate on growth when growth is between $231,000 - $263,999
 * Tier 4: 12% rebate on growth when growth is $264,000 +</t>
  </si>
  <si>
    <t xml:space="preserve">
Chiesi USA, Inc.</t>
  </si>
  <si>
    <t>4052.16261C</t>
  </si>
  <si>
    <t>20% off 10122-0610-10
20% off 10122-0611-10</t>
  </si>
  <si>
    <t>(ID#:549) Product Pricing Agmt. (Cleviprex) and Rebate - MSH</t>
  </si>
  <si>
    <t>Hill-Rom</t>
  </si>
  <si>
    <t>(ID#:551) Master Capital Purchase Agmt. (Beds, related products) &amp; Rebate - MSHS</t>
  </si>
  <si>
    <t>4052.16536C</t>
  </si>
  <si>
    <t>2 bi-annual rebates:
 1. Base rebate: 1.5% rebate as long as spend is same or greater than previous year.
 2. 2 tier growth rebate: * Tier 1: 7% rebate on growth over base if spend is between 107.5% - 110.00% of base
     * Tier 2: 10% rebate on growth over base if spend is between &gt;110.00% of base
* Agreement says "annual" but it is calculated bi-annually.</t>
  </si>
  <si>
    <t>YEARS 1-3 EXPIRED</t>
  </si>
  <si>
    <t>7% Rebate
  Customer must use an Alcon Custom Pak® and/or PikPaks® for each
cataract procedure performed; provided, however, that at least one ofeitherthe Custom Pak® and!oxPikPaks®
used in such procedure must include (i) an Alcon viscoelastic viscoelastic in 75% of such procedures; and
(ii) an Alcon cataract FMS equipment cassette in 100% of such procedures.
Must be 45% compliant to qualify</t>
  </si>
  <si>
    <t xml:space="preserve">2% rebate on $786,208 spend
</t>
  </si>
  <si>
    <t xml:space="preserve">
(ID#:78) Prosthetic Urology Product Pricing and Rebate Agreement (TACTRA, AMBICOR, PRECONNECT, RESERVOIR, SNAP FIT, etc.)</t>
  </si>
  <si>
    <t xml:space="preserve">Tier 1: Spend between ($345,000 - $499,999) = 2% Rebate
Tier 2: Spend between ($500,000+) = 4% Rebate
</t>
  </si>
  <si>
    <t>(ID#:134) Medtronic - Enterprise Partnership Rebate - Exp. 2027</t>
  </si>
  <si>
    <t xml:space="preserve">2% rebate on $393,103 spend
</t>
  </si>
  <si>
    <t xml:space="preserve">Check Valio to see if achieved. </t>
  </si>
  <si>
    <t>Check Valio to see if achieved. Should receive soon</t>
  </si>
  <si>
    <t xml:space="preserve">4% rebate on $228,000 spend
</t>
  </si>
  <si>
    <t xml:space="preserve">4% rebate on $114,000 spend
</t>
  </si>
  <si>
    <t>Tier 1: Customer’s Net Purchases of Products during the Term ($767,100-$1,563,999) = 2% Rebate
Tier 2: Customer’s Net Purchases of Products during the Term ($1,564,000-$1,999,999) = 4% Rebate
Tier 3: Customer’s Net Purchases of Products during the Term ($2,000,000 or greater) = 6% Rebate</t>
  </si>
  <si>
    <t>Advanced Bionics, LLC</t>
  </si>
  <si>
    <t>(ID#:396) Rebate Growth Incentive Rebate Program - $1,100 Rebate Per Cochlear Implant</t>
  </si>
  <si>
    <t>4052.4805C</t>
  </si>
  <si>
    <t>65 Implants: 1-65 Implants Back to unit 1 once the 65th device is purchased = $1,100 Rebate Per Cochlear Implant</t>
  </si>
  <si>
    <t>(ID#:550) (Covidien) Equipment and Accessories Royalty-Free License Agmt (TruClear Equipment) (equipment buy-out) - MSHS</t>
  </si>
  <si>
    <t>4052.13133C</t>
  </si>
  <si>
    <t>Growth Rebate
20% Rebate on Growth (Minimum $293,628)</t>
  </si>
  <si>
    <t>Howmedica Osteonics Corp.</t>
  </si>
  <si>
    <t>(ID#:552) Consignment Purchase Agmt. (Joint Reconstruction/Trauma) - MSHS</t>
  </si>
  <si>
    <t>4052.15566C</t>
  </si>
  <si>
    <t>Spend $50,000 on Mako Consumables = 10% REBATE</t>
  </si>
  <si>
    <t>Mt. Sinai Rental Budget Agreement Maintenance Rebate (7.1.24-9.30.24) Q3</t>
  </si>
  <si>
    <t>Q2 &amp; Q3 2024 PPP Rebate</t>
  </si>
  <si>
    <t>Boston Scientific Peripheral Interventions Corporate Incentive Program Eluvia Rebate (January  01, 2025 - June 30, 2025)</t>
  </si>
  <si>
    <t>57 or 58 (Needs to be updated)</t>
  </si>
  <si>
    <t>Boston Scientific Electrophysiology Corporate Incentive Program (June 01, 2025 - August 31, 2025) Comprised of Rebate 1: Farawave Nav &amp; Rebate 2: Farawave Nav</t>
  </si>
  <si>
    <t>6% Surgical Wrap Rebate (7/01/2024 - 6/30/2025)</t>
  </si>
  <si>
    <t>Sinai’s Q2 2025 Collection Credit agreement, based on Contract Quarters (5/1/2025-7/31/2025)</t>
  </si>
  <si>
    <t>Quarterly $0.30 Pulse Oximeters Collection Credit</t>
  </si>
  <si>
    <t>HFM rebate of 2%/4% if BL 12/16 units is met respectively. Measured in Aggregate. Net of Rebates.</t>
  </si>
  <si>
    <t>Contract ID: 9904</t>
  </si>
  <si>
    <t>Q1 2025 - HFM rebate of 2%/4% if BL 12/16 units is met respectively. Measured in Aggregate. Net of Rebates.</t>
  </si>
  <si>
    <t>Q2 2025 - HFM rebate of 2%/4% if BL 12/16 units is met respectively. Measured in Aggregate. Net of Rebates.</t>
  </si>
  <si>
    <t>Watchman Business Review - 90263_Mount Sinai New York_WM_Rebate Notification_ACH_2025'08 (June 01, 2025 - August 31, 2025) Q3 2025</t>
  </si>
  <si>
    <t>PAS Wingset 4937 ($172,163.70)</t>
  </si>
  <si>
    <t xml:space="preserve">                                          Overall Revenue                         APR%                               Growth Rebate %
$13,000,000-$14,999,999                               3%                                            5%  
$15,000,000-$17,999,999                               5%                                            5%  
$18,000,000 +                                                      6%                                            5%  </t>
  </si>
  <si>
    <t xml:space="preserve">Q1 2025 - Smart Coils Rebate </t>
  </si>
  <si>
    <t>$0.10 Per Unit Rebate</t>
  </si>
  <si>
    <t>6/1/204</t>
  </si>
  <si>
    <t>New Annual Rebate signed in June 2024, first payment received 2/2025</t>
  </si>
  <si>
    <t>AUG2025 Admin Fees</t>
  </si>
  <si>
    <t>BP-DES-SYNERGY/BP-DES-MEGATRON &amp; XD48/PP-DES-PROMUS PREMIER 7 ELITE Rebate 2.1.24-7.31.24</t>
  </si>
  <si>
    <t>Boston Scientific Interventional Cardiology Corporate Incentive Program (February 01, 2025 - July 31, 2025)
BP-DES Megatron &amp; XD48 - $200/ea</t>
  </si>
  <si>
    <t xml:space="preserve">2025 Q2 03-05
$ 6,296.85
11412 - Rebate 3: Quarterly SH Amplatzer rebate of 3%/5% if BL of 21/25 units is met. </t>
  </si>
  <si>
    <t xml:space="preserve">$ 11,250.00
11415 - TAVI Rebate 5: Quarterly SH Navitor rebate of $1,250 per unit if 10% MS is achieved. </t>
  </si>
  <si>
    <t>rebate pending while mount sinai hasn’t paid invoices</t>
  </si>
  <si>
    <t>Gavin.Kirkpatrick@molnlycke.com</t>
  </si>
  <si>
    <t>tina_vogt@baxter.com
bryon_thoin@baxter.com</t>
  </si>
  <si>
    <t>mike sinagaglia
Christopher.LaBella@bd.com</t>
  </si>
  <si>
    <t xml:space="preserve">Only MSSN. Not a large incentive. </t>
  </si>
  <si>
    <t>Spend too low</t>
  </si>
  <si>
    <t>Skip</t>
  </si>
  <si>
    <t>Moved product away</t>
  </si>
  <si>
    <t>Pharmacy rebate</t>
  </si>
  <si>
    <t>Gavin.Kirkpatrick@molnlycke.com &amp; Liz</t>
  </si>
  <si>
    <t>Structural Heart - Ex C Rebate Program CBT Unit Target (4/26/2025 to 7/25/2025)</t>
  </si>
  <si>
    <t>Structural Heart - Bulk Rebate FY26Q1 SH (4/26/2025 to 7/25/2025)</t>
  </si>
  <si>
    <t>PP-IV-162-181</t>
  </si>
  <si>
    <t>Annual Volume Discount: PP-IV-162-181 PMDF Addendum - Effective 3/1/2025 - 8% Rebate</t>
  </si>
  <si>
    <t>Second Annual Volume Discount: PP-IV-162-181 PMDF Addendum, Effective 3/1/2025 - 12% Rebate</t>
  </si>
  <si>
    <t>Hill-Rom Rebate
2% Rebate  on volume of purchases of capital products on a single Purchase Order (Minimum $1M)</t>
  </si>
  <si>
    <t xml:space="preserve">New Annual Rebate. Have not received yet. </t>
  </si>
  <si>
    <t>Mount Sinai Q1 2025 Liason Rebate</t>
  </si>
  <si>
    <t>Mount Sinai IC rebate for the period of 08’23-01’24 Coronary Balloons Rebate</t>
  </si>
  <si>
    <t>Double Check Valio</t>
  </si>
  <si>
    <t>Eligible Products: All Erectile Restoration Products sold by Boston Sci
Tier 1: $418,000-$499,999.99 in Erectile Restoration Products = 2% Rebate
Tier 2: $500,000.00+ in Erectile Restoration Products = 5% Rebate</t>
  </si>
  <si>
    <t>Update in Valio</t>
  </si>
  <si>
    <t>Peripheral Intervention- Men's Health 2023 - Annual Rebate</t>
  </si>
  <si>
    <t>Boston Scientific Cardiac Rhythm Management Corporate Incentive Program (April 01, 2025 - June 30, 2025)
CRM Rebate = $250,032.01</t>
  </si>
  <si>
    <t>Boston Scientific Cardiac Rhythm Management Corporate Incentive Program (April 01, 2025 - June 30, 2025)
LUX-DX II+ ICM US Rebate = $23,850</t>
  </si>
  <si>
    <t>Versacross Incentive Rebate Aug to Oct 2023</t>
  </si>
  <si>
    <t>Rebate D: Qtr rebate of $500/$1000 if min of 16 MCG40100 (MitraClip G4) and/or min 21 Amplatzer Talisman if 1000010615 achieves. Facilities
100010615 &amp; 1000010621 achieve rebate.</t>
  </si>
  <si>
    <t>Q4 2023 SH BL Rebate - 8396 - Talisman PFO (9301217340 &amp; 9301217338)</t>
  </si>
  <si>
    <t>Rebate Program: TAV Purchases 30 Net Unit Target Met Earn 7.7% Rebate on Net Purchases of Applicable Products</t>
  </si>
  <si>
    <t>CV Peripheral - Rebate Program: Exhibit G: ABRE Net Unit Purchases Target Met Earn Rebate Per Net Unit of Purchases of Applicable Products</t>
  </si>
  <si>
    <t>Quarterly SH Navitor rebate of $1,250 per unit if 10% MS is achieved. Measured per participating facility.</t>
  </si>
  <si>
    <t>New Rebate Never Before Received</t>
  </si>
  <si>
    <t>2% on $6,367,581 spend from 8/1/2024-7/31/2025</t>
  </si>
  <si>
    <t>Structural Heart - Ex F1 MS Rebate Program CBT (4/26/2025 to 7/25/2025)</t>
  </si>
  <si>
    <t>Tier 1: Market Share Target 40 = $1,750 per unit
Tier 2: Market Share Target 50 = $2,250 per unit</t>
  </si>
  <si>
    <t xml:space="preserve">Quarterly Rebate: 
Quarterly Rebate (Purchase 16+ MitraClip Systems = 3% Rebate)
Quarterly Rebate (Purchase 21+ MitraClip Systems = 5% Rebate)
Quarterly Rebate (Purchase 21+ Amplatzer Talisman = 3% Rebate)
Quarterly Rebate (Purchase 25+ MitraClip Systems = 5% Rebate)
</t>
  </si>
  <si>
    <t>Comprised of 4 individual Rebates (SH Amplatzer 8396, HFM 9904, SH LAA 8398, SH LAA 8399)</t>
  </si>
  <si>
    <t>Electrophysiology Corporate Incentive Program (7/1/2025 to 9/30/2025) Non-Nav Farawave, Nav Farawave, Nav Farawave Watchman - Morningside Only</t>
  </si>
  <si>
    <t xml:space="preserve">Quarterly Farapulse Rebate - MORNINGSIDE ONLY
Tier 1: 24-35 Units = $1,000 Per Unit
Tier 2: 36-47 Units = $1,500 Per Unit
Tier 3: 48-59 Units = $1,750 Per Unit
Tier 4: 60+ Units = $2,000 Per Unit
</t>
  </si>
  <si>
    <t>Teleflex</t>
  </si>
  <si>
    <t>2024 (Year 1) Rebate - Received via "PROCESSINGCENTER" on 12/6/2024</t>
  </si>
  <si>
    <t>December 2024`</t>
  </si>
  <si>
    <t>2025 Q3 (Jul 1, 2025 -  Sep 30, 2025) - Mt Sinai - Quarterly HFM Rebate - 9904</t>
  </si>
  <si>
    <t>Quarterly Rebate:
Quarterly Rebate (Purchase 16+ MitraClip Systems = 3% Rebate)
Quarterly Rebate (Purchase 21+ MitraClip Systems = 5% Rebate)
Quarterly Rebate (Purchase 21+ Amplatzer Talisman = 3% Rebate)
Quarterly Rebate (Purchase 25+ MitraClip Systems = 5% Rebate)
Quarterly Rebate (Purchase 10+ Amulet units = $15,000 credit per unit)</t>
  </si>
  <si>
    <t>Ian Zolty is Stakeholder
ian.zolty@mountsinai.org</t>
  </si>
  <si>
    <t>giselle.lopez-ingram@mountsinai.org</t>
  </si>
  <si>
    <t>Amarilis.Etayem@grainger.com</t>
  </si>
  <si>
    <t>Meghal Desai Contract</t>
  </si>
  <si>
    <t>Anthony Curraro</t>
  </si>
  <si>
    <t xml:space="preserve"> Yoni and Danny Shin</t>
  </si>
  <si>
    <t>sal.tranchina@mssm.edu
dale.wilson@mssm.edu
aaniello@triumvirate.com</t>
  </si>
  <si>
    <t>q</t>
  </si>
  <si>
    <t>SEP2025 Admin Fees</t>
  </si>
  <si>
    <t xml:space="preserve">Rebate goes to Ian. Rebate goes back to the ledger for department  IC210151010. Rebate comes by check. Just over 250K per Quarter. </t>
  </si>
  <si>
    <t xml:space="preserve">Contract still valid, rebate component removed 3 years back. </t>
  </si>
  <si>
    <t xml:space="preserve">Ian not stakeholder. Check with Premier. Check with Cardinal. </t>
  </si>
  <si>
    <t xml:space="preserve">Q3 2025 - Customer Resource Rebate </t>
  </si>
  <si>
    <t>Q3 2025 - 6% Non-SPT Medline Rebate</t>
  </si>
  <si>
    <t>Q3 2025 - 3% SPT Medline Rebate</t>
  </si>
  <si>
    <t>Q3 2025 - 5% Growth Rebate</t>
  </si>
  <si>
    <t>Q3 2025 - $1.59 Underpad Rebate</t>
  </si>
  <si>
    <t>Q3 2025 - 33.06% Vacutainer Rebate</t>
  </si>
  <si>
    <t>Q3 2025 - 5% Exam Glove Rebate</t>
  </si>
  <si>
    <t>AF Solutions: Ex A Rebate Program CAS (4.26.25 - 7.25.25)</t>
  </si>
  <si>
    <t>Mount Sinai Q3 2025 Liason Rebate</t>
  </si>
  <si>
    <t>Received after Closing out 2024</t>
  </si>
  <si>
    <t>Enterprise Initiatives Agreement between your organization and B. BRAUN MEDICAL INC. (“B.Braun”), AESCULAP, INC. (“AIC”), AESCULAP IMPLANT SYSTEMS, LLC (“AIS”), B. BRAUN INTERVENTIONAL SYSTEMS INC. (“BIS”) and CENTRAL ADMIXTURE PHARMACY SERVICES, INC. (“CAPS”). 9.1.24-8.31.25</t>
  </si>
  <si>
    <t xml:space="preserve">Sinai Q2 2025 - Quarterly Mobile Cart Rebate </t>
  </si>
  <si>
    <t>2025Q3_THVREBATE_QTR</t>
  </si>
  <si>
    <t>One Off - 3PL VARIATION</t>
  </si>
  <si>
    <t xml:space="preserve">Does this belong in Rebates? </t>
  </si>
  <si>
    <t>2% Annual Earned Rebate</t>
  </si>
  <si>
    <t>Last received in 2023. Year 2 Annual Rebate</t>
  </si>
  <si>
    <t>Strategic Account Incentive (9.1.23-8.31.24) Year 2 - 2% Annual Earned Rebate - Safety IV Catheters</t>
  </si>
  <si>
    <t>Bbraun/BIS - Enterprise Initiatives Agreement w/ B.Braun, BIS, AIC, AIS, CAPS (#7955)</t>
  </si>
  <si>
    <t>AIC - Enterprise Initiatives Agreement w/ B.Braun, BIS, AIC, AIS, CAPS (#7955)</t>
  </si>
  <si>
    <t>OCT 2025 Admin Fees</t>
  </si>
  <si>
    <t>Sinai’s Q3 2025 Platinum Plus Program (PPP) Payment for recycled Platinum</t>
  </si>
  <si>
    <t>CSL Behring</t>
  </si>
  <si>
    <t>Hemgenix 15% Rebate</t>
  </si>
  <si>
    <t>Collections Credit $99,866.33 + Spend/Growth Rebate $28,361.12</t>
  </si>
  <si>
    <t>.</t>
  </si>
  <si>
    <t>Quarterly CRM: LUX-DX II+ ICM US (7.1.25 - 9.30.25)</t>
  </si>
  <si>
    <t>Quarterly Cardiac Rhythm Management Corporate Incentive Program CRM (7.1.25-9.30.25)</t>
  </si>
  <si>
    <t>Abbott Endovascular: Credit Memo</t>
  </si>
  <si>
    <t>Q2 &amp; Q3 2025: Endo Esprit BTK Credit Memo</t>
  </si>
  <si>
    <t>Includes 2 quarterly payments</t>
  </si>
  <si>
    <t>Medtronic Surgical Wrap Rebate: AF Solutions: Ex A Rebate Program CAS</t>
  </si>
  <si>
    <t>November 2025 Admin Fees</t>
  </si>
  <si>
    <t>Watchman Rebate Program: 9.1.25-11.30.25</t>
  </si>
  <si>
    <t>$0.30/POX Collection Credit (8.1.25-10.31.25)</t>
  </si>
  <si>
    <t>Peripheral Interventions Corporate Incentive Program: 8.1.25-10.31.25 : VersaCross Rebate</t>
  </si>
  <si>
    <t>Farawave  Non Nav - Rebate #1: $0.00
Farawave Nav - Rebate #1: $330,750
Farawave Nav - Rebate #2: $47,250</t>
  </si>
  <si>
    <t>Vendor Rebate ID #</t>
  </si>
  <si>
    <t>Structural Heart: Ex F1 MS Rebate Program CBT (7.26.25-10.24.25) TAVR Market Share (Evolut FX + Valve TAV)</t>
  </si>
  <si>
    <t>7.7% Rebate on CBT/ALL CBT</t>
  </si>
  <si>
    <t>TAVR Unit Target (30 Target/ 48 Achieved) 7.26.25-10.24.25</t>
  </si>
  <si>
    <t>Peripheral: Ex G Rebate Program ABRE: Deep Venous ABRE</t>
  </si>
  <si>
    <t>Agreement: 104008
ZDMF: 1038295
Rebate ID: 18329</t>
  </si>
  <si>
    <t>Electrophysiology Corporate Incentive Program (October 01, 2025 - December 31, 2025)</t>
  </si>
  <si>
    <r>
      <rPr>
        <b/>
        <sz val="10"/>
        <color theme="1"/>
        <rFont val="Calibri"/>
        <family val="2"/>
      </rPr>
      <t>Non Nav Farawave - Qualified</t>
    </r>
    <r>
      <rPr>
        <sz val="10"/>
        <color theme="1"/>
        <rFont val="Calibri"/>
        <family val="2"/>
      </rPr>
      <t xml:space="preserve">
Nav Farawave - DNQ
Nav Farawave Watchman Rebate - DNQ</t>
    </r>
  </si>
  <si>
    <t>December 2025 Admin Fees</t>
  </si>
  <si>
    <t>Structural Heart
CV: TAVI 
Q4 2025 (Sept-Nov)
Navitor Vision</t>
  </si>
  <si>
    <t>Structural Heart
CV: LAA
Q4 2025 (Sept-Nov)
Amplatzer Amulet</t>
  </si>
  <si>
    <t>Structural Heart
CV: LAA
Q3 2025 (Jun-Aug)
Amplatzer Amulet</t>
  </si>
  <si>
    <t>Structural Heart
CV: LAA
Q2 2025 (Mar-May)
Amplatzer Amulet</t>
  </si>
  <si>
    <t>Peripheral: Eluvia Rebate (7.1.25 - 12.31.25)</t>
  </si>
  <si>
    <t>Rebate 5: Quarterly SH Navitor rebate of $1,250 per unit if 10% MS is achieved</t>
  </si>
  <si>
    <t>Rebate 6: Quarterly SH LAA rebate of $500 if Rebate 1, 3 or 5 is achieved. Maximum rebate of $1,500 per unit</t>
  </si>
  <si>
    <t xml:space="preserve">Deposited into TD acct. </t>
  </si>
  <si>
    <t>Gown Program Rebate Q4 2025</t>
  </si>
  <si>
    <t xml:space="preserve">EP </t>
  </si>
  <si>
    <t xml:space="preserve">D4C (7/1/24-6/30/25) </t>
  </si>
  <si>
    <t>Rebate 3: Quarterly SH Amplatzer rebate of 3%/5% if BL of 21/25 units</t>
  </si>
  <si>
    <t>Rebate of 3%/5% if BL of 21/25 units is met</t>
  </si>
  <si>
    <t>Derive</t>
  </si>
  <si>
    <t xml:space="preserve">Sinai Q3 2025 - Quarterly Mobile Cart Rebate </t>
  </si>
  <si>
    <t>2025Q4_THVREBATE_QTR</t>
  </si>
  <si>
    <t>CRM</t>
  </si>
  <si>
    <t>January 2026 Admin Fees</t>
  </si>
  <si>
    <t>HFM Q4 2025</t>
  </si>
  <si>
    <t>One-Time $2M Rebate</t>
  </si>
  <si>
    <t>One-Time SPT</t>
  </si>
  <si>
    <t>5% Growth</t>
  </si>
  <si>
    <t>Customer Resource</t>
  </si>
  <si>
    <t>One-Time</t>
  </si>
  <si>
    <t>$0.30/POX Rebate</t>
  </si>
  <si>
    <t>Corporate (SCA) rebate</t>
  </si>
  <si>
    <t>3% SPT Medline Rebate</t>
  </si>
  <si>
    <t>6% Non-SPT Medline Rebate</t>
  </si>
  <si>
    <t>Thrombectomy &amp; Neuroguard Product Rebate</t>
  </si>
  <si>
    <t>Tier 1: Spend $3,625,000-$4,124,000 = 10% Rebate
Tier 2: Spend $4,125,000+ = 15% Rebate</t>
  </si>
  <si>
    <t>Peripheral Interventions Corporate Incentive Rebate</t>
  </si>
  <si>
    <t>Electrophisiology - VersaCross</t>
  </si>
  <si>
    <t>Interventional Cardiology Corporate Incentive Rebate</t>
  </si>
  <si>
    <t>DES - Megatron &amp; XD48</t>
  </si>
  <si>
    <t>Electrophysiology Corporate Incentive Program: Farawave</t>
  </si>
  <si>
    <t>Farawave Nav - Rebate #1</t>
  </si>
  <si>
    <t>Farawave Nav - Rebate #2</t>
  </si>
  <si>
    <t>Watchman FLX Pro Device</t>
  </si>
  <si>
    <t xml:space="preserve">28.06% Vacutainer </t>
  </si>
  <si>
    <t xml:space="preserve">3PL Gowns </t>
  </si>
  <si>
    <t>NOT A REBATE</t>
  </si>
  <si>
    <t>Peripheral - Ex G Rebate Program ABRE (10.25.25-1.23.26)</t>
  </si>
  <si>
    <t>Cardiac Rhythm Management Corporate Incentive Program (10.1.25-12.31.25)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</si>
</sst>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_);[Red]\(&quot;$&quot;#,##0\)"/>
    <numFmt numFmtId="8" formatCode="&quot;$&quot;#,##0.00_);[Red]\(&quot;$&quot;#,##0.00\)"/>
    <numFmt numFmtId="44" formatCode="_(&quot;$&quot;* #,##0.00_);_(&quot;$&quot;* \(#,##0.00\);_(&quot;$&quot;* &quot;-&quot;??_);_(@_)"/>
    <numFmt numFmtId="43" formatCode="_(* #,##0.00_);_(* \(#,##0.00\);_(* &quot;-&quot;??_);_(@_)"/>
    <numFmt numFmtId="164" formatCode="&quot;$&quot;#,##0.00"/>
    <numFmt numFmtId="165" formatCode="mm/dd/yyyy"/>
    <numFmt numFmtId="166" formatCode="_([$$-409]* #,##0.00_);_([$$-409]* \(#,##0.00\);_([$$-409]* &quot;-&quot;??_);_(@_)"/>
  </numFmts>
  <fonts count="69" x14ac:knownFonts="1">
    <font>
      <sz val="12"/>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b/>
      <sz val="12"/>
      <color theme="0"/>
      <name val="Aptos Narrow"/>
      <family val="2"/>
      <scheme val="minor"/>
    </font>
    <font>
      <b/>
      <sz val="11"/>
      <color rgb="FF000000"/>
      <name val="Calibri"/>
      <family val="2"/>
    </font>
    <font>
      <sz val="16"/>
      <name val="Arial"/>
      <family val="2"/>
    </font>
    <font>
      <b/>
      <sz val="9"/>
      <color theme="0"/>
      <name val="Calibri"/>
      <family val="2"/>
    </font>
    <font>
      <sz val="12"/>
      <color theme="1"/>
      <name val="Aptos Narrow"/>
      <family val="2"/>
      <scheme val="minor"/>
    </font>
    <font>
      <sz val="12"/>
      <color theme="1"/>
      <name val="Calibri"/>
      <family val="2"/>
    </font>
    <font>
      <sz val="8"/>
      <name val="Aptos Narrow"/>
      <family val="2"/>
      <scheme val="minor"/>
    </font>
    <font>
      <b/>
      <sz val="10"/>
      <color rgb="FF000000"/>
      <name val="Calibri"/>
      <family val="2"/>
    </font>
    <font>
      <b/>
      <sz val="12"/>
      <color theme="1"/>
      <name val="Aptos Narrow"/>
      <family val="2"/>
      <scheme val="minor"/>
    </font>
    <font>
      <u/>
      <sz val="11"/>
      <color theme="10"/>
      <name val="Aptos Narrow"/>
      <family val="2"/>
      <scheme val="minor"/>
    </font>
    <font>
      <sz val="10"/>
      <color rgb="FF000000"/>
      <name val="Arial"/>
      <family val="2"/>
    </font>
    <font>
      <u/>
      <sz val="12"/>
      <color theme="10"/>
      <name val="Aptos Narrow"/>
      <family val="2"/>
      <scheme val="minor"/>
    </font>
    <font>
      <sz val="8"/>
      <name val="Arial"/>
      <family val="2"/>
    </font>
    <font>
      <sz val="11"/>
      <color rgb="FF000000"/>
      <name val="Calibri"/>
      <family val="2"/>
    </font>
    <font>
      <sz val="11"/>
      <color rgb="FF000000"/>
      <name val="Aptos Narrow"/>
      <family val="2"/>
      <scheme val="minor"/>
    </font>
    <font>
      <sz val="10"/>
      <color theme="1"/>
      <name val="Aptos Narrow"/>
      <family val="2"/>
      <scheme val="minor"/>
    </font>
    <font>
      <b/>
      <sz val="10"/>
      <color theme="1"/>
      <name val="Aptos Narrow"/>
      <family val="2"/>
      <scheme val="minor"/>
    </font>
    <font>
      <b/>
      <sz val="10"/>
      <color rgb="FF000000"/>
      <name val="Aptos Narrow"/>
      <family val="2"/>
      <scheme val="minor"/>
    </font>
    <font>
      <b/>
      <sz val="9"/>
      <color rgb="FFFFFFFF"/>
      <name val="Arial"/>
      <family val="2"/>
    </font>
    <font>
      <b/>
      <sz val="9"/>
      <color rgb="FFFFFFFF"/>
      <name val="Calibri"/>
      <family val="2"/>
    </font>
    <font>
      <sz val="16"/>
      <name val="Calibri"/>
      <family val="2"/>
    </font>
    <font>
      <sz val="11"/>
      <color theme="0"/>
      <name val="Calibri"/>
      <family val="2"/>
    </font>
    <font>
      <sz val="10"/>
      <color rgb="FFFF0000"/>
      <name val="Aptos Narrow"/>
      <family val="2"/>
      <scheme val="minor"/>
    </font>
    <font>
      <sz val="12"/>
      <color rgb="FFFF0000"/>
      <name val="Aptos Narrow"/>
      <family val="2"/>
      <scheme val="minor"/>
    </font>
    <font>
      <sz val="9"/>
      <color theme="0"/>
      <name val="Calibri"/>
      <family val="2"/>
    </font>
    <font>
      <sz val="10"/>
      <color rgb="FF000000"/>
      <name val="Calibri"/>
      <family val="2"/>
    </font>
    <font>
      <sz val="10"/>
      <color theme="1"/>
      <name val="Calibri"/>
      <family val="2"/>
    </font>
    <font>
      <u/>
      <sz val="10"/>
      <color theme="10"/>
      <name val="Calibri"/>
      <family val="2"/>
    </font>
    <font>
      <sz val="10"/>
      <color rgb="FFFF0000"/>
      <name val="Calibri"/>
      <family val="2"/>
    </font>
    <font>
      <b/>
      <sz val="10"/>
      <color theme="1"/>
      <name val="Calibri"/>
      <family val="2"/>
    </font>
    <font>
      <u/>
      <sz val="10"/>
      <color rgb="FF467886"/>
      <name val="Calibri"/>
      <family val="2"/>
    </font>
    <font>
      <sz val="9"/>
      <color theme="1"/>
      <name val="Aptos Narrow"/>
      <family val="2"/>
      <scheme val="minor"/>
    </font>
    <font>
      <sz val="10"/>
      <name val="Calibri"/>
      <family val="2"/>
    </font>
    <font>
      <sz val="10"/>
      <color rgb="FF242424"/>
      <name val="Calibri"/>
      <family val="2"/>
    </font>
    <font>
      <sz val="10"/>
      <name val="Aptos Narrow"/>
      <family val="2"/>
      <scheme val="minor"/>
    </font>
    <font>
      <sz val="10"/>
      <color theme="1"/>
      <name val="Aptos"/>
      <family val="2"/>
    </font>
    <font>
      <sz val="12"/>
      <color theme="1"/>
      <name val="Segoe UI"/>
      <family val="2"/>
    </font>
    <font>
      <sz val="10"/>
      <color rgb="FF000000"/>
      <name val="Aptos Narrow"/>
      <family val="2"/>
      <scheme val="minor"/>
    </font>
    <font>
      <sz val="10"/>
      <color indexed="8"/>
      <name val="Calibri"/>
      <family val="2"/>
    </font>
    <font>
      <sz val="8"/>
      <name val="Calibri"/>
      <family val="2"/>
    </font>
    <font>
      <sz val="12"/>
      <name val="Aptos Narrow"/>
      <family val="2"/>
      <scheme val="minor"/>
    </font>
    <font>
      <sz val="11"/>
      <name val="Calibri"/>
      <family val="2"/>
    </font>
    <font>
      <b/>
      <sz val="11"/>
      <name val="Calibri"/>
      <family val="2"/>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name val="Comic Sans MS"/>
      <family val="4"/>
    </font>
    <font>
      <sz val="10"/>
      <name val="Arial"/>
      <family val="2"/>
    </font>
    <font>
      <u/>
      <sz val="10"/>
      <name val="Calibri"/>
      <family val="2"/>
    </font>
    <font>
      <sz val="12"/>
      <name val="Calibri"/>
      <family val="2"/>
    </font>
    <font>
      <sz val="8"/>
      <color theme="1"/>
      <name val="Calibri"/>
      <family val="2"/>
    </font>
    <font>
      <sz val="11"/>
      <color theme="1"/>
      <name val="Aptos"/>
      <family val="2"/>
    </font>
  </fonts>
  <fills count="48">
    <fill>
      <patternFill patternType="none"/>
    </fill>
    <fill>
      <patternFill patternType="gray125"/>
    </fill>
    <fill>
      <patternFill patternType="solid">
        <fgColor rgb="FF000080"/>
        <bgColor rgb="FF000000"/>
      </patternFill>
    </fill>
    <fill>
      <patternFill patternType="solid">
        <fgColor rgb="FF92D050"/>
        <bgColor indexed="64"/>
      </patternFill>
    </fill>
    <fill>
      <patternFill patternType="solid">
        <fgColor rgb="FFFFFF00"/>
        <bgColor indexed="64"/>
      </patternFill>
    </fill>
    <fill>
      <patternFill patternType="solid">
        <fgColor rgb="FFC4D79B"/>
        <bgColor rgb="FF000000"/>
      </patternFill>
    </fill>
    <fill>
      <patternFill patternType="solid">
        <fgColor rgb="FFFFFFFF"/>
        <bgColor indexed="64"/>
      </patternFill>
    </fill>
    <fill>
      <patternFill patternType="solid">
        <fgColor theme="0" tint="-4.9989318521683403E-2"/>
        <bgColor indexed="64"/>
      </patternFill>
    </fill>
    <fill>
      <patternFill patternType="solid">
        <fgColor rgb="FF7030A0"/>
        <bgColor indexed="64"/>
      </patternFill>
    </fill>
    <fill>
      <patternFill patternType="solid">
        <fgColor theme="0" tint="-0.14999847407452621"/>
        <bgColor indexed="64"/>
      </patternFill>
    </fill>
    <fill>
      <patternFill patternType="solid">
        <fgColor theme="0"/>
        <bgColor indexed="64"/>
      </patternFill>
    </fill>
    <fill>
      <patternFill patternType="solid">
        <fgColor rgb="FFFFC000"/>
        <bgColor indexed="64"/>
      </patternFill>
    </fill>
    <fill>
      <patternFill patternType="solid">
        <fgColor rgb="FFFF0000"/>
        <bgColor indexed="64"/>
      </patternFill>
    </fill>
    <fill>
      <patternFill patternType="solid">
        <fgColor rgb="FF00B0F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
      <patternFill patternType="solid">
        <fgColor rgb="FFF2F2F2"/>
        <bgColor rgb="FF000000"/>
      </patternFill>
    </fill>
    <fill>
      <patternFill patternType="solid">
        <fgColor rgb="FFFFFF00"/>
        <bgColor rgb="FF000000"/>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indexed="64"/>
      </left>
      <right/>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bottom style="thin">
        <color indexed="64"/>
      </bottom>
      <diagonal/>
    </border>
    <border>
      <left style="medium">
        <color indexed="64"/>
      </left>
      <right style="medium">
        <color indexed="64"/>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75">
    <xf numFmtId="0" fontId="0" fillId="0" borderId="0"/>
    <xf numFmtId="0" fontId="3" fillId="0" borderId="0"/>
    <xf numFmtId="0" fontId="13" fillId="0" borderId="0" applyNumberFormat="0" applyFill="0" applyBorder="0" applyAlignment="0" applyProtection="0"/>
    <xf numFmtId="0" fontId="3" fillId="0" borderId="0"/>
    <xf numFmtId="44" fontId="3" fillId="0" borderId="0" applyFont="0" applyFill="0" applyBorder="0" applyAlignment="0" applyProtection="0"/>
    <xf numFmtId="0" fontId="3" fillId="0" borderId="0"/>
    <xf numFmtId="0" fontId="3" fillId="0" borderId="0"/>
    <xf numFmtId="9" fontId="14" fillId="0" borderId="0" applyFont="0" applyFill="0" applyBorder="0" applyAlignment="0" applyProtection="0"/>
    <xf numFmtId="44" fontId="3" fillId="0" borderId="0" applyFont="0" applyFill="0" applyBorder="0" applyAlignment="0" applyProtection="0"/>
    <xf numFmtId="0" fontId="15" fillId="0" borderId="0" applyNumberFormat="0" applyFill="0" applyBorder="0" applyAlignment="0" applyProtection="0"/>
    <xf numFmtId="44" fontId="8" fillId="0" borderId="0" applyFont="0" applyFill="0" applyBorder="0" applyAlignment="0" applyProtection="0"/>
    <xf numFmtId="0" fontId="14" fillId="0" borderId="0"/>
    <xf numFmtId="43" fontId="14" fillId="0" borderId="0" applyFont="0" applyFill="0" applyBorder="0" applyAlignment="0" applyProtection="0"/>
    <xf numFmtId="44" fontId="14" fillId="0" borderId="0" applyFont="0" applyFill="0" applyBorder="0" applyAlignment="0" applyProtection="0"/>
    <xf numFmtId="0" fontId="14"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47" fillId="0" borderId="0" applyNumberFormat="0" applyFill="0" applyBorder="0" applyAlignment="0" applyProtection="0"/>
    <xf numFmtId="0" fontId="48" fillId="0" borderId="16" applyNumberFormat="0" applyFill="0" applyAlignment="0" applyProtection="0"/>
    <xf numFmtId="0" fontId="49" fillId="0" borderId="17" applyNumberFormat="0" applyFill="0" applyAlignment="0" applyProtection="0"/>
    <xf numFmtId="0" fontId="50" fillId="0" borderId="18" applyNumberFormat="0" applyFill="0" applyAlignment="0" applyProtection="0"/>
    <xf numFmtId="0" fontId="50" fillId="0" borderId="0" applyNumberFormat="0" applyFill="0" applyBorder="0" applyAlignment="0" applyProtection="0"/>
    <xf numFmtId="0" fontId="51" fillId="14" borderId="0" applyNumberFormat="0" applyBorder="0" applyAlignment="0" applyProtection="0"/>
    <xf numFmtId="0" fontId="52" fillId="15" borderId="0" applyNumberFormat="0" applyBorder="0" applyAlignment="0" applyProtection="0"/>
    <xf numFmtId="0" fontId="53" fillId="16" borderId="0" applyNumberFormat="0" applyBorder="0" applyAlignment="0" applyProtection="0"/>
    <xf numFmtId="0" fontId="54" fillId="17" borderId="19" applyNumberFormat="0" applyAlignment="0" applyProtection="0"/>
    <xf numFmtId="0" fontId="55" fillId="18" borderId="20" applyNumberFormat="0" applyAlignment="0" applyProtection="0"/>
    <xf numFmtId="0" fontId="56" fillId="18" borderId="19" applyNumberFormat="0" applyAlignment="0" applyProtection="0"/>
    <xf numFmtId="0" fontId="57" fillId="0" borderId="21" applyNumberFormat="0" applyFill="0" applyAlignment="0" applyProtection="0"/>
    <xf numFmtId="0" fontId="58" fillId="19" borderId="22" applyNumberFormat="0" applyAlignment="0" applyProtection="0"/>
    <xf numFmtId="0" fontId="59" fillId="0" borderId="0" applyNumberFormat="0" applyFill="0" applyBorder="0" applyAlignment="0" applyProtection="0"/>
    <xf numFmtId="0" fontId="60" fillId="0" borderId="0" applyNumberFormat="0" applyFill="0" applyBorder="0" applyAlignment="0" applyProtection="0"/>
    <xf numFmtId="0" fontId="61" fillId="0" borderId="24" applyNumberFormat="0" applyFill="0" applyAlignment="0" applyProtection="0"/>
    <xf numFmtId="0" fontId="62"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62"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62"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62"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62" fillId="37"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62" fillId="41"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44" fontId="1" fillId="0" borderId="0" applyFont="0" applyFill="0" applyBorder="0" applyAlignment="0" applyProtection="0"/>
    <xf numFmtId="0" fontId="1" fillId="0" borderId="0"/>
    <xf numFmtId="0" fontId="13" fillId="0" borderId="0" applyNumberFormat="0" applyFill="0" applyBorder="0" applyAlignment="0" applyProtection="0"/>
    <xf numFmtId="44" fontId="1" fillId="0" borderId="0" applyFont="0" applyFill="0" applyBorder="0" applyAlignment="0" applyProtection="0"/>
    <xf numFmtId="0" fontId="14" fillId="0" borderId="0"/>
    <xf numFmtId="0" fontId="1" fillId="0" borderId="0"/>
    <xf numFmtId="0" fontId="1" fillId="0" borderId="0"/>
    <xf numFmtId="44" fontId="1" fillId="0" borderId="0" applyFont="0" applyFill="0" applyBorder="0" applyAlignment="0" applyProtection="0"/>
    <xf numFmtId="9" fontId="1" fillId="0" borderId="0" applyFont="0" applyFill="0" applyBorder="0" applyAlignment="0" applyProtection="0"/>
    <xf numFmtId="0" fontId="63" fillId="0" borderId="0"/>
    <xf numFmtId="0" fontId="64" fillId="0" borderId="0"/>
    <xf numFmtId="0" fontId="1" fillId="20" borderId="23" applyNumberFormat="0" applyFont="0" applyAlignment="0" applyProtection="0"/>
    <xf numFmtId="0" fontId="14" fillId="0" borderId="0"/>
  </cellStyleXfs>
  <cellXfs count="439">
    <xf numFmtId="0" fontId="0" fillId="0" borderId="0" xfId="0"/>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14" fontId="5" fillId="0" borderId="1" xfId="0" applyNumberFormat="1" applyFont="1" applyBorder="1" applyAlignment="1">
      <alignment horizontal="center" vertical="center"/>
    </xf>
    <xf numFmtId="0" fontId="7" fillId="2" borderId="1" xfId="0" applyFont="1" applyFill="1" applyBorder="1" applyAlignment="1">
      <alignment horizontal="center" vertical="center" wrapText="1"/>
    </xf>
    <xf numFmtId="0" fontId="4" fillId="0" borderId="0" xfId="0" applyFont="1"/>
    <xf numFmtId="14" fontId="5" fillId="0" borderId="1" xfId="0" applyNumberFormat="1" applyFont="1" applyFill="1" applyBorder="1" applyAlignment="1">
      <alignment horizontal="center" vertical="center"/>
    </xf>
    <xf numFmtId="0" fontId="0" fillId="0" borderId="0" xfId="0" applyFill="1"/>
    <xf numFmtId="0" fontId="7" fillId="2" borderId="0" xfId="0" applyFont="1" applyFill="1" applyBorder="1" applyAlignment="1">
      <alignment horizontal="center" vertical="center" wrapText="1"/>
    </xf>
    <xf numFmtId="0" fontId="0" fillId="0" borderId="0" xfId="0" applyFill="1" applyAlignment="1">
      <alignment wrapText="1"/>
    </xf>
    <xf numFmtId="0" fontId="5" fillId="0" borderId="0" xfId="0" applyFont="1" applyBorder="1" applyAlignment="1">
      <alignment horizontal="center" vertical="center" wrapText="1"/>
    </xf>
    <xf numFmtId="0" fontId="0" fillId="0" borderId="0" xfId="0" applyAlignment="1">
      <alignment wrapText="1"/>
    </xf>
    <xf numFmtId="0" fontId="12" fillId="0" borderId="0" xfId="0" applyFont="1" applyAlignment="1">
      <alignment wrapText="1"/>
    </xf>
    <xf numFmtId="0" fontId="0" fillId="0" borderId="0" xfId="0" applyFont="1"/>
    <xf numFmtId="0" fontId="0" fillId="0" borderId="0" xfId="0" applyFont="1" applyFill="1"/>
    <xf numFmtId="0" fontId="11" fillId="0" borderId="1" xfId="0" applyFont="1" applyBorder="1" applyAlignment="1">
      <alignment horizontal="center" vertical="center" wrapText="1"/>
    </xf>
    <xf numFmtId="0" fontId="7" fillId="2" borderId="4"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9" fillId="0" borderId="1" xfId="0" applyFont="1" applyBorder="1" applyAlignment="1">
      <alignment horizontal="center"/>
    </xf>
    <xf numFmtId="0" fontId="9" fillId="0" borderId="1" xfId="0" applyFont="1" applyBorder="1"/>
    <xf numFmtId="0" fontId="19" fillId="0" borderId="0" xfId="0" applyFont="1" applyAlignment="1">
      <alignment horizontal="center"/>
    </xf>
    <xf numFmtId="165" fontId="19" fillId="0" borderId="0" xfId="0" applyNumberFormat="1" applyFont="1" applyAlignment="1">
      <alignment horizontal="center"/>
    </xf>
    <xf numFmtId="14" fontId="19" fillId="0" borderId="0" xfId="0" applyNumberFormat="1" applyFont="1" applyAlignment="1">
      <alignment horizontal="center"/>
    </xf>
    <xf numFmtId="0" fontId="19" fillId="0" borderId="0" xfId="0" applyFont="1" applyAlignment="1">
      <alignment horizontal="center" wrapText="1"/>
    </xf>
    <xf numFmtId="0" fontId="20" fillId="0" borderId="0" xfId="0" applyFont="1" applyAlignment="1">
      <alignment horizontal="center"/>
    </xf>
    <xf numFmtId="0" fontId="20" fillId="0" borderId="0" xfId="0" applyFont="1" applyAlignment="1">
      <alignment horizontal="center" wrapText="1"/>
    </xf>
    <xf numFmtId="0" fontId="21" fillId="0" borderId="0" xfId="0" applyFont="1"/>
    <xf numFmtId="6" fontId="5" fillId="0" borderId="1" xfId="0" applyNumberFormat="1" applyFont="1" applyBorder="1" applyAlignment="1">
      <alignment horizontal="center" vertical="center"/>
    </xf>
    <xf numFmtId="0" fontId="22" fillId="2" borderId="1" xfId="0" applyFont="1" applyFill="1" applyBorder="1" applyAlignment="1">
      <alignment horizontal="center" vertical="center" wrapText="1"/>
    </xf>
    <xf numFmtId="0" fontId="23" fillId="2" borderId="1" xfId="0" applyFont="1" applyFill="1" applyBorder="1" applyAlignment="1">
      <alignment horizontal="center" vertical="center" wrapText="1"/>
    </xf>
    <xf numFmtId="0" fontId="17" fillId="0" borderId="1" xfId="0" applyFont="1" applyBorder="1" applyAlignment="1">
      <alignment horizontal="center"/>
    </xf>
    <xf numFmtId="0" fontId="6" fillId="0" borderId="0" xfId="0" applyFont="1" applyAlignment="1">
      <alignment vertical="center" wrapText="1"/>
    </xf>
    <xf numFmtId="0" fontId="6" fillId="0" borderId="0" xfId="0" applyFont="1" applyAlignment="1">
      <alignment horizontal="center" vertical="center"/>
    </xf>
    <xf numFmtId="0" fontId="24" fillId="0" borderId="0" xfId="0" applyFont="1" applyAlignment="1">
      <alignment vertical="center"/>
    </xf>
    <xf numFmtId="0" fontId="24" fillId="0" borderId="0" xfId="0" applyFont="1" applyAlignment="1">
      <alignment horizontal="right" vertical="center"/>
    </xf>
    <xf numFmtId="0" fontId="24" fillId="0" borderId="0" xfId="0" applyFont="1" applyAlignment="1">
      <alignment horizontal="center" vertical="center"/>
    </xf>
    <xf numFmtId="0" fontId="5" fillId="5" borderId="1" xfId="0" applyFont="1" applyFill="1" applyBorder="1" applyAlignment="1">
      <alignment horizontal="center" vertical="center"/>
    </xf>
    <xf numFmtId="6" fontId="5" fillId="5" borderId="1" xfId="0" applyNumberFormat="1" applyFont="1" applyFill="1" applyBorder="1" applyAlignment="1">
      <alignment horizontal="center" vertical="center"/>
    </xf>
    <xf numFmtId="44" fontId="9" fillId="0" borderId="1" xfId="10" applyFont="1" applyBorder="1"/>
    <xf numFmtId="0" fontId="9" fillId="0" borderId="1" xfId="0" applyFont="1" applyBorder="1" applyAlignment="1">
      <alignment horizontal="center" vertical="center"/>
    </xf>
    <xf numFmtId="166" fontId="9" fillId="0" borderId="1" xfId="0" applyNumberFormat="1" applyFont="1" applyBorder="1"/>
    <xf numFmtId="0" fontId="9" fillId="0" borderId="1" xfId="0" applyFont="1" applyFill="1" applyBorder="1"/>
    <xf numFmtId="0" fontId="9" fillId="0" borderId="1" xfId="0" applyFont="1" applyBorder="1" applyAlignment="1">
      <alignment wrapText="1"/>
    </xf>
    <xf numFmtId="44" fontId="0" fillId="0" borderId="0" xfId="10" applyFont="1"/>
    <xf numFmtId="0" fontId="26" fillId="0" borderId="0" xfId="0" applyFont="1" applyAlignment="1">
      <alignment horizontal="center" wrapText="1"/>
    </xf>
    <xf numFmtId="0" fontId="26" fillId="0" borderId="0" xfId="0" applyFont="1" applyAlignment="1">
      <alignment horizontal="center"/>
    </xf>
    <xf numFmtId="165" fontId="26" fillId="0" borderId="0" xfId="0" applyNumberFormat="1" applyFont="1" applyAlignment="1">
      <alignment horizontal="center"/>
    </xf>
    <xf numFmtId="0" fontId="27" fillId="0" borderId="0" xfId="0" applyFont="1"/>
    <xf numFmtId="14" fontId="26" fillId="0" borderId="0" xfId="0" applyNumberFormat="1" applyFont="1" applyAlignment="1">
      <alignment horizontal="center"/>
    </xf>
    <xf numFmtId="0" fontId="5" fillId="0" borderId="0" xfId="0" applyFont="1" applyBorder="1" applyAlignment="1">
      <alignment horizontal="center" vertical="center"/>
    </xf>
    <xf numFmtId="0" fontId="28" fillId="2" borderId="4" xfId="0" applyFont="1" applyFill="1" applyBorder="1" applyAlignment="1">
      <alignment horizontal="center" vertical="center" wrapText="1"/>
    </xf>
    <xf numFmtId="0" fontId="17" fillId="0" borderId="1" xfId="0" applyFont="1" applyBorder="1" applyAlignment="1">
      <alignment horizontal="center" vertical="center" wrapText="1"/>
    </xf>
    <xf numFmtId="0" fontId="17" fillId="0" borderId="1" xfId="0" applyFont="1" applyFill="1" applyBorder="1" applyAlignment="1">
      <alignment horizontal="center" vertical="center" wrapText="1"/>
    </xf>
    <xf numFmtId="14" fontId="17" fillId="0" borderId="1" xfId="0" applyNumberFormat="1" applyFont="1" applyFill="1" applyBorder="1" applyAlignment="1">
      <alignment horizontal="center" vertical="center" wrapText="1"/>
    </xf>
    <xf numFmtId="44" fontId="0" fillId="0" borderId="0" xfId="10" applyFont="1" applyFill="1"/>
    <xf numFmtId="44" fontId="0" fillId="0" borderId="0" xfId="10" applyFont="1" applyFill="1" applyAlignment="1">
      <alignment wrapText="1"/>
    </xf>
    <xf numFmtId="44" fontId="0" fillId="0" borderId="0" xfId="0" applyNumberFormat="1" applyFill="1"/>
    <xf numFmtId="0" fontId="29" fillId="0" borderId="1" xfId="0" applyFont="1" applyBorder="1" applyAlignment="1">
      <alignment horizontal="center" vertical="center" wrapText="1"/>
    </xf>
    <xf numFmtId="0" fontId="29" fillId="7" borderId="1" xfId="0" applyFont="1" applyFill="1" applyBorder="1" applyAlignment="1">
      <alignment horizontal="center" vertical="center" wrapText="1"/>
    </xf>
    <xf numFmtId="0" fontId="29" fillId="4" borderId="1" xfId="0" applyFont="1" applyFill="1" applyBorder="1" applyAlignment="1">
      <alignment horizontal="center" vertical="center" wrapText="1"/>
    </xf>
    <xf numFmtId="0" fontId="29" fillId="0" borderId="1" xfId="0" applyFont="1" applyFill="1" applyBorder="1" applyAlignment="1">
      <alignment horizontal="center" vertical="center" wrapText="1"/>
    </xf>
    <xf numFmtId="0" fontId="0" fillId="0" borderId="0" xfId="0" applyFont="1" applyAlignment="1">
      <alignment wrapText="1"/>
    </xf>
    <xf numFmtId="0" fontId="0" fillId="0" borderId="0" xfId="0" applyFont="1" applyFill="1" applyAlignment="1">
      <alignment wrapText="1"/>
    </xf>
    <xf numFmtId="44" fontId="8" fillId="0" borderId="0" xfId="10" applyFont="1" applyFill="1"/>
    <xf numFmtId="44" fontId="8" fillId="0" borderId="0" xfId="10" applyFont="1" applyFill="1" applyAlignment="1">
      <alignment wrapText="1"/>
    </xf>
    <xf numFmtId="0" fontId="0" fillId="10" borderId="0" xfId="0" applyFill="1"/>
    <xf numFmtId="0" fontId="0" fillId="0" borderId="1" xfId="0" applyFont="1" applyBorder="1"/>
    <xf numFmtId="0" fontId="17" fillId="0" borderId="0" xfId="0" applyFont="1" applyBorder="1" applyAlignment="1">
      <alignment horizontal="center" vertical="center" wrapText="1"/>
    </xf>
    <xf numFmtId="0" fontId="0" fillId="0" borderId="1" xfId="0" applyFont="1" applyBorder="1" applyAlignment="1">
      <alignment wrapText="1"/>
    </xf>
    <xf numFmtId="0" fontId="0" fillId="0" borderId="1" xfId="0" applyBorder="1" applyAlignment="1">
      <alignment wrapText="1"/>
    </xf>
    <xf numFmtId="0" fontId="0" fillId="0" borderId="1" xfId="0" applyBorder="1"/>
    <xf numFmtId="14" fontId="5" fillId="0" borderId="0" xfId="0" applyNumberFormat="1" applyFont="1" applyFill="1" applyBorder="1" applyAlignment="1">
      <alignment horizontal="center" vertical="center"/>
    </xf>
    <xf numFmtId="44" fontId="5" fillId="0" borderId="1" xfId="10" applyFont="1" applyFill="1" applyBorder="1" applyAlignment="1">
      <alignment horizontal="center" vertical="center"/>
    </xf>
    <xf numFmtId="0" fontId="0" fillId="7" borderId="0" xfId="0" applyFont="1" applyFill="1" applyAlignment="1">
      <alignment wrapText="1"/>
    </xf>
    <xf numFmtId="0" fontId="25" fillId="2" borderId="1" xfId="0" applyFont="1" applyFill="1" applyBorder="1" applyAlignment="1">
      <alignment horizontal="center" vertical="center" wrapText="1"/>
    </xf>
    <xf numFmtId="44" fontId="25" fillId="2" borderId="1" xfId="10" applyFont="1" applyFill="1" applyBorder="1" applyAlignment="1">
      <alignment horizontal="center" vertical="center" wrapText="1"/>
    </xf>
    <xf numFmtId="166" fontId="25" fillId="2" borderId="1" xfId="0" applyNumberFormat="1" applyFont="1" applyFill="1" applyBorder="1" applyAlignment="1">
      <alignment horizontal="center" vertical="center" wrapText="1"/>
    </xf>
    <xf numFmtId="44" fontId="7" fillId="2" borderId="1" xfId="10" applyNumberFormat="1" applyFont="1" applyFill="1" applyBorder="1" applyAlignment="1">
      <alignment horizontal="center" vertical="center" wrapText="1"/>
    </xf>
    <xf numFmtId="44" fontId="7" fillId="2" borderId="1" xfId="10" applyNumberFormat="1" applyFont="1" applyFill="1" applyBorder="1" applyAlignment="1">
      <alignment horizontal="left" vertical="center" wrapText="1" indent="1"/>
    </xf>
    <xf numFmtId="0" fontId="4" fillId="0" borderId="1" xfId="0" applyFont="1" applyBorder="1"/>
    <xf numFmtId="44" fontId="9" fillId="0" borderId="1" xfId="10" applyNumberFormat="1" applyFont="1" applyBorder="1"/>
    <xf numFmtId="0" fontId="30" fillId="0" borderId="1" xfId="0" applyFont="1" applyBorder="1" applyAlignment="1">
      <alignment horizontal="center" vertical="center"/>
    </xf>
    <xf numFmtId="0" fontId="30" fillId="7" borderId="1" xfId="0" applyFont="1" applyFill="1" applyBorder="1" applyAlignment="1">
      <alignment horizontal="center" vertical="center"/>
    </xf>
    <xf numFmtId="14" fontId="30" fillId="7" borderId="1" xfId="0" applyNumberFormat="1" applyFont="1" applyFill="1" applyBorder="1" applyAlignment="1">
      <alignment horizontal="center" vertical="center"/>
    </xf>
    <xf numFmtId="14" fontId="30" fillId="7" borderId="1" xfId="0" applyNumberFormat="1" applyFont="1" applyFill="1" applyBorder="1" applyAlignment="1">
      <alignment horizontal="center" vertical="center" wrapText="1"/>
    </xf>
    <xf numFmtId="0" fontId="31" fillId="0" borderId="1" xfId="9" applyFont="1" applyBorder="1" applyAlignment="1">
      <alignment horizontal="center" vertical="center"/>
    </xf>
    <xf numFmtId="14" fontId="30" fillId="0" borderId="1" xfId="0" applyNumberFormat="1" applyFont="1" applyBorder="1" applyAlignment="1">
      <alignment horizontal="center" vertical="center"/>
    </xf>
    <xf numFmtId="0" fontId="30" fillId="0" borderId="1" xfId="0" applyFont="1" applyFill="1" applyBorder="1"/>
    <xf numFmtId="0" fontId="30" fillId="0" borderId="1" xfId="0" applyFont="1" applyFill="1" applyBorder="1" applyAlignment="1">
      <alignment wrapText="1"/>
    </xf>
    <xf numFmtId="44" fontId="30" fillId="0" borderId="1" xfId="10" applyNumberFormat="1" applyFont="1" applyBorder="1" applyAlignment="1">
      <alignment vertical="center"/>
    </xf>
    <xf numFmtId="0" fontId="31" fillId="6" borderId="1" xfId="9" applyFont="1" applyFill="1" applyBorder="1" applyAlignment="1">
      <alignment horizontal="center" vertical="center" wrapText="1"/>
    </xf>
    <xf numFmtId="0" fontId="30" fillId="0" borderId="1" xfId="0" applyFont="1" applyFill="1" applyBorder="1" applyAlignment="1">
      <alignment horizontal="center" vertical="center"/>
    </xf>
    <xf numFmtId="14" fontId="30" fillId="0" borderId="1" xfId="0" applyNumberFormat="1" applyFont="1" applyFill="1" applyBorder="1" applyAlignment="1">
      <alignment horizontal="center" vertical="center"/>
    </xf>
    <xf numFmtId="0" fontId="30" fillId="7" borderId="1" xfId="0" applyFont="1" applyFill="1" applyBorder="1" applyAlignment="1">
      <alignment horizontal="center" vertical="center" wrapText="1"/>
    </xf>
    <xf numFmtId="0" fontId="31" fillId="0" borderId="1" xfId="9" applyFont="1" applyFill="1" applyBorder="1" applyAlignment="1">
      <alignment horizontal="center" vertical="center" wrapText="1"/>
    </xf>
    <xf numFmtId="44" fontId="30" fillId="0" borderId="1" xfId="10" applyFont="1" applyFill="1" applyBorder="1"/>
    <xf numFmtId="44" fontId="30" fillId="3" borderId="1" xfId="10" applyFont="1" applyFill="1" applyBorder="1"/>
    <xf numFmtId="44" fontId="30" fillId="0" borderId="1" xfId="10" applyNumberFormat="1" applyFont="1" applyFill="1" applyBorder="1"/>
    <xf numFmtId="44" fontId="30" fillId="3" borderId="1" xfId="10" applyFont="1" applyFill="1" applyBorder="1" applyAlignment="1">
      <alignment horizontal="center" vertical="center"/>
    </xf>
    <xf numFmtId="14" fontId="32" fillId="7" borderId="1" xfId="0" applyNumberFormat="1" applyFont="1" applyFill="1" applyBorder="1" applyAlignment="1">
      <alignment horizontal="center" vertical="center"/>
    </xf>
    <xf numFmtId="0" fontId="30" fillId="0" borderId="1" xfId="0" applyFont="1" applyBorder="1"/>
    <xf numFmtId="0" fontId="30" fillId="0" borderId="1" xfId="0" applyFont="1" applyBorder="1" applyAlignment="1">
      <alignment horizontal="center" vertical="center" wrapText="1"/>
    </xf>
    <xf numFmtId="44" fontId="30" fillId="0" borderId="1" xfId="10" applyFont="1" applyBorder="1"/>
    <xf numFmtId="0" fontId="30" fillId="0" borderId="1" xfId="0" applyFont="1" applyBorder="1" applyAlignment="1">
      <alignment wrapText="1"/>
    </xf>
    <xf numFmtId="44" fontId="30" fillId="0" borderId="1" xfId="10" applyNumberFormat="1" applyFont="1" applyBorder="1"/>
    <xf numFmtId="0" fontId="31" fillId="0" borderId="1" xfId="9" applyFont="1" applyFill="1" applyBorder="1" applyAlignment="1">
      <alignment horizontal="center" vertical="center"/>
    </xf>
    <xf numFmtId="14" fontId="29" fillId="7" borderId="1" xfId="0" applyNumberFormat="1" applyFont="1" applyFill="1" applyBorder="1" applyAlignment="1">
      <alignment horizontal="center" vertical="center" wrapText="1"/>
    </xf>
    <xf numFmtId="44" fontId="30" fillId="0" borderId="1" xfId="10" applyFont="1" applyFill="1" applyBorder="1" applyAlignment="1">
      <alignment horizontal="center" vertical="center"/>
    </xf>
    <xf numFmtId="0" fontId="30" fillId="0" borderId="1" xfId="0" applyFont="1" applyFill="1" applyBorder="1" applyAlignment="1">
      <alignment horizontal="center" vertical="center" wrapText="1"/>
    </xf>
    <xf numFmtId="44" fontId="30" fillId="0" borderId="1" xfId="10" applyNumberFormat="1" applyFont="1" applyFill="1" applyBorder="1" applyAlignment="1">
      <alignment horizontal="center" vertical="center"/>
    </xf>
    <xf numFmtId="166" fontId="30" fillId="3" borderId="1" xfId="0" applyNumberFormat="1" applyFont="1" applyFill="1" applyBorder="1"/>
    <xf numFmtId="0" fontId="31" fillId="10" borderId="1" xfId="9" applyFont="1" applyFill="1" applyBorder="1" applyAlignment="1">
      <alignment horizontal="center" vertical="center"/>
    </xf>
    <xf numFmtId="0" fontId="30" fillId="10" borderId="1" xfId="0" applyFont="1" applyFill="1" applyBorder="1" applyAlignment="1">
      <alignment horizontal="center" vertical="center"/>
    </xf>
    <xf numFmtId="14" fontId="30" fillId="10" borderId="1" xfId="0" applyNumberFormat="1" applyFont="1" applyFill="1" applyBorder="1" applyAlignment="1">
      <alignment horizontal="center" vertical="center"/>
    </xf>
    <xf numFmtId="0" fontId="30" fillId="9" borderId="1" xfId="0" applyFont="1" applyFill="1" applyBorder="1" applyAlignment="1">
      <alignment horizontal="center" vertical="center"/>
    </xf>
    <xf numFmtId="0" fontId="30" fillId="9" borderId="1" xfId="0" applyFont="1" applyFill="1" applyBorder="1" applyAlignment="1">
      <alignment horizontal="center" vertical="center" wrapText="1"/>
    </xf>
    <xf numFmtId="0" fontId="30" fillId="0" borderId="1" xfId="0" applyFont="1" applyBorder="1" applyAlignment="1">
      <alignment horizontal="center"/>
    </xf>
    <xf numFmtId="166" fontId="33" fillId="0" borderId="1" xfId="0" applyNumberFormat="1" applyFont="1" applyBorder="1"/>
    <xf numFmtId="14" fontId="30" fillId="0" borderId="1" xfId="0" applyNumberFormat="1" applyFont="1" applyBorder="1" applyAlignment="1">
      <alignment horizontal="center" vertical="center" wrapText="1"/>
    </xf>
    <xf numFmtId="0" fontId="31" fillId="0" borderId="0" xfId="9" applyFont="1" applyAlignment="1">
      <alignment horizontal="center" vertical="center"/>
    </xf>
    <xf numFmtId="0" fontId="34" fillId="0" borderId="1" xfId="0" applyFont="1" applyBorder="1" applyAlignment="1">
      <alignment horizontal="center" vertical="center"/>
    </xf>
    <xf numFmtId="44" fontId="30" fillId="0" borderId="1" xfId="10" applyFont="1" applyBorder="1" applyAlignment="1">
      <alignment horizontal="center" vertical="center"/>
    </xf>
    <xf numFmtId="166" fontId="30" fillId="3" borderId="1" xfId="0" applyNumberFormat="1" applyFont="1" applyFill="1" applyBorder="1" applyAlignment="1">
      <alignment horizontal="center" vertical="center"/>
    </xf>
    <xf numFmtId="44" fontId="30" fillId="0" borderId="1" xfId="10" applyNumberFormat="1" applyFont="1" applyBorder="1" applyAlignment="1">
      <alignment horizontal="center" vertical="center"/>
    </xf>
    <xf numFmtId="0" fontId="32" fillId="8" borderId="1" xfId="0" applyFont="1" applyFill="1" applyBorder="1" applyAlignment="1">
      <alignment horizontal="center" vertical="center" wrapText="1"/>
    </xf>
    <xf numFmtId="0" fontId="30" fillId="4" borderId="1" xfId="0" applyFont="1" applyFill="1" applyBorder="1" applyAlignment="1">
      <alignment horizontal="center" vertical="center"/>
    </xf>
    <xf numFmtId="166" fontId="30" fillId="0" borderId="1" xfId="0" applyNumberFormat="1" applyFont="1" applyBorder="1" applyAlignment="1">
      <alignment horizontal="center" vertical="center"/>
    </xf>
    <xf numFmtId="44" fontId="30" fillId="10" borderId="1" xfId="10" applyFont="1" applyFill="1" applyBorder="1" applyAlignment="1">
      <alignment horizontal="center" vertical="center" wrapText="1"/>
    </xf>
    <xf numFmtId="0" fontId="32" fillId="0" borderId="1" xfId="0" applyFont="1" applyFill="1" applyBorder="1" applyAlignment="1">
      <alignment horizontal="center" vertical="center"/>
    </xf>
    <xf numFmtId="166" fontId="30" fillId="0" borderId="1" xfId="0" applyNumberFormat="1" applyFont="1" applyFill="1" applyBorder="1" applyAlignment="1">
      <alignment horizontal="center" vertical="center"/>
    </xf>
    <xf numFmtId="0" fontId="29" fillId="10" borderId="1" xfId="0" applyFont="1" applyFill="1" applyBorder="1" applyAlignment="1">
      <alignment horizontal="center" vertical="center" wrapText="1"/>
    </xf>
    <xf numFmtId="44" fontId="30" fillId="10" borderId="1" xfId="10" applyFont="1" applyFill="1" applyBorder="1" applyAlignment="1">
      <alignment horizontal="center" vertical="center"/>
    </xf>
    <xf numFmtId="8" fontId="30" fillId="0" borderId="1" xfId="10" applyNumberFormat="1" applyFont="1" applyFill="1" applyBorder="1" applyAlignment="1">
      <alignment horizontal="center" vertical="center"/>
    </xf>
    <xf numFmtId="0" fontId="30" fillId="10" borderId="1" xfId="0" applyFont="1" applyFill="1" applyBorder="1" applyAlignment="1">
      <alignment horizontal="center" vertical="center" wrapText="1"/>
    </xf>
    <xf numFmtId="0" fontId="35" fillId="0" borderId="0" xfId="0" applyFont="1"/>
    <xf numFmtId="0" fontId="30" fillId="4" borderId="1" xfId="0" applyFont="1" applyFill="1" applyBorder="1" applyAlignment="1">
      <alignment horizontal="center" vertical="center" wrapText="1"/>
    </xf>
    <xf numFmtId="14" fontId="30" fillId="7" borderId="11" xfId="0" applyNumberFormat="1" applyFont="1" applyFill="1" applyBorder="1" applyAlignment="1">
      <alignment horizontal="center" vertical="center" wrapText="1"/>
    </xf>
    <xf numFmtId="0" fontId="29" fillId="0" borderId="4" xfId="0" applyFont="1" applyBorder="1" applyAlignment="1">
      <alignment horizontal="center" vertical="center" wrapText="1"/>
    </xf>
    <xf numFmtId="0" fontId="29" fillId="0" borderId="10" xfId="0" applyFont="1" applyFill="1" applyBorder="1" applyAlignment="1">
      <alignment horizontal="center" vertical="center" wrapText="1"/>
    </xf>
    <xf numFmtId="0" fontId="30" fillId="7" borderId="11" xfId="0" applyFont="1" applyFill="1" applyBorder="1" applyAlignment="1">
      <alignment horizontal="center" vertical="center" wrapText="1"/>
    </xf>
    <xf numFmtId="14" fontId="32" fillId="7" borderId="1" xfId="0" applyNumberFormat="1" applyFont="1" applyFill="1" applyBorder="1" applyAlignment="1">
      <alignment horizontal="center" vertical="center" wrapText="1"/>
    </xf>
    <xf numFmtId="0" fontId="29" fillId="7" borderId="4" xfId="0" applyFont="1" applyFill="1" applyBorder="1" applyAlignment="1">
      <alignment horizontal="center" vertical="center" wrapText="1"/>
    </xf>
    <xf numFmtId="0" fontId="29" fillId="0" borderId="4" xfId="0" applyFont="1" applyFill="1" applyBorder="1" applyAlignment="1">
      <alignment horizontal="center" vertical="center" wrapText="1"/>
    </xf>
    <xf numFmtId="0" fontId="29" fillId="7" borderId="11" xfId="0" applyFont="1" applyFill="1" applyBorder="1" applyAlignment="1">
      <alignment horizontal="center" vertical="center" wrapText="1"/>
    </xf>
    <xf numFmtId="0" fontId="30" fillId="7" borderId="4" xfId="0" applyFont="1" applyFill="1" applyBorder="1" applyAlignment="1">
      <alignment horizontal="center" vertical="center" wrapText="1"/>
    </xf>
    <xf numFmtId="0" fontId="29" fillId="0" borderId="11" xfId="0" applyFont="1" applyFill="1" applyBorder="1" applyAlignment="1">
      <alignment horizontal="center" vertical="center" wrapText="1"/>
    </xf>
    <xf numFmtId="0" fontId="36" fillId="0" borderId="0" xfId="0" applyFont="1" applyFill="1" applyAlignment="1">
      <alignment horizontal="center" vertical="center" wrapText="1"/>
    </xf>
    <xf numFmtId="0" fontId="29" fillId="3" borderId="1" xfId="0" applyFont="1" applyFill="1" applyBorder="1" applyAlignment="1">
      <alignment horizontal="center" vertical="center" wrapText="1"/>
    </xf>
    <xf numFmtId="0" fontId="29" fillId="0" borderId="0" xfId="0" applyFont="1" applyFill="1" applyBorder="1" applyAlignment="1">
      <alignment horizontal="center" vertical="center" wrapText="1"/>
    </xf>
    <xf numFmtId="0" fontId="31" fillId="6" borderId="11" xfId="9" applyFont="1" applyFill="1" applyBorder="1" applyAlignment="1">
      <alignment horizontal="center" vertical="center" wrapText="1"/>
    </xf>
    <xf numFmtId="0" fontId="31" fillId="6" borderId="0" xfId="9" applyFont="1" applyFill="1" applyBorder="1" applyAlignment="1">
      <alignment horizontal="center" vertical="center" wrapText="1"/>
    </xf>
    <xf numFmtId="0" fontId="11" fillId="10" borderId="1" xfId="0" applyFont="1" applyFill="1" applyBorder="1" applyAlignment="1">
      <alignment horizontal="center" vertical="center" wrapText="1"/>
    </xf>
    <xf numFmtId="0" fontId="29" fillId="0" borderId="7" xfId="0" applyFont="1" applyBorder="1" applyAlignment="1">
      <alignment horizontal="center" vertical="center" wrapText="1"/>
    </xf>
    <xf numFmtId="0" fontId="30" fillId="0" borderId="0" xfId="0" applyFont="1" applyBorder="1" applyAlignment="1">
      <alignment horizontal="center" vertical="center" wrapText="1"/>
    </xf>
    <xf numFmtId="0" fontId="30" fillId="0" borderId="0" xfId="0" applyFont="1" applyFill="1" applyBorder="1" applyAlignment="1">
      <alignment horizontal="center" vertical="center" wrapText="1"/>
    </xf>
    <xf numFmtId="0" fontId="29" fillId="0" borderId="0" xfId="0" applyFont="1" applyBorder="1" applyAlignment="1">
      <alignment horizontal="center" vertical="center" wrapText="1"/>
    </xf>
    <xf numFmtId="0" fontId="29" fillId="0" borderId="11" xfId="0" applyFont="1" applyBorder="1" applyAlignment="1">
      <alignment horizontal="center" vertical="center" wrapText="1"/>
    </xf>
    <xf numFmtId="0" fontId="36" fillId="0" borderId="1" xfId="0" applyFont="1" applyBorder="1" applyAlignment="1">
      <alignment horizontal="center" vertical="center" wrapText="1"/>
    </xf>
    <xf numFmtId="0" fontId="36" fillId="0" borderId="0" xfId="0" applyFont="1" applyBorder="1" applyAlignment="1">
      <alignment horizontal="center" vertical="center" wrapText="1"/>
    </xf>
    <xf numFmtId="6" fontId="30" fillId="0" borderId="0" xfId="0" applyNumberFormat="1" applyFont="1" applyFill="1" applyBorder="1" applyAlignment="1">
      <alignment horizontal="center" vertical="center" wrapText="1"/>
    </xf>
    <xf numFmtId="0" fontId="30" fillId="0" borderId="0" xfId="0" applyFont="1" applyAlignment="1">
      <alignment horizontal="center" vertical="center" wrapText="1"/>
    </xf>
    <xf numFmtId="0" fontId="30" fillId="0" borderId="10" xfId="0" applyFont="1" applyBorder="1" applyAlignment="1">
      <alignment horizontal="center" vertical="center" wrapText="1"/>
    </xf>
    <xf numFmtId="0" fontId="30" fillId="0" borderId="4" xfId="0" applyFont="1" applyBorder="1" applyAlignment="1">
      <alignment horizontal="center" vertical="center" wrapText="1"/>
    </xf>
    <xf numFmtId="0" fontId="36" fillId="0" borderId="0" xfId="0" applyFont="1" applyAlignment="1">
      <alignment horizontal="center" vertical="center" wrapText="1"/>
    </xf>
    <xf numFmtId="0" fontId="30" fillId="0" borderId="0" xfId="0" applyFont="1" applyFill="1" applyAlignment="1">
      <alignment horizontal="center" vertical="center" wrapText="1"/>
    </xf>
    <xf numFmtId="0" fontId="31" fillId="0" borderId="0" xfId="9" applyFont="1" applyAlignment="1">
      <alignment horizontal="center" vertical="center" wrapText="1"/>
    </xf>
    <xf numFmtId="0" fontId="36" fillId="0" borderId="1" xfId="0" applyFont="1" applyFill="1" applyBorder="1" applyAlignment="1">
      <alignment horizontal="center" vertical="center" wrapText="1"/>
    </xf>
    <xf numFmtId="0" fontId="30" fillId="10" borderId="0" xfId="0" applyFont="1" applyFill="1" applyAlignment="1">
      <alignment horizontal="center" vertical="center" wrapText="1"/>
    </xf>
    <xf numFmtId="14" fontId="29" fillId="0" borderId="8" xfId="0" applyNumberFormat="1" applyFont="1" applyBorder="1" applyAlignment="1">
      <alignment horizontal="center" vertical="center" wrapText="1"/>
    </xf>
    <xf numFmtId="0" fontId="29" fillId="0" borderId="8" xfId="0" applyFont="1" applyBorder="1" applyAlignment="1">
      <alignment horizontal="center" vertical="center" wrapText="1"/>
    </xf>
    <xf numFmtId="4" fontId="29" fillId="0" borderId="9" xfId="0" applyNumberFormat="1" applyFont="1" applyBorder="1" applyAlignment="1">
      <alignment horizontal="center" vertical="center" wrapText="1"/>
    </xf>
    <xf numFmtId="4" fontId="29" fillId="0" borderId="0" xfId="0" applyNumberFormat="1" applyFont="1" applyBorder="1" applyAlignment="1">
      <alignment horizontal="center" vertical="center" wrapText="1"/>
    </xf>
    <xf numFmtId="6" fontId="29" fillId="0" borderId="1" xfId="0" applyNumberFormat="1" applyFont="1" applyFill="1" applyBorder="1" applyAlignment="1">
      <alignment horizontal="center" vertical="center" wrapText="1"/>
    </xf>
    <xf numFmtId="0" fontId="31" fillId="0" borderId="11" xfId="9" applyFont="1" applyBorder="1" applyAlignment="1">
      <alignment horizontal="center" vertical="center" wrapText="1"/>
    </xf>
    <xf numFmtId="14" fontId="30" fillId="0" borderId="1" xfId="0" applyNumberFormat="1" applyFont="1" applyFill="1" applyBorder="1" applyAlignment="1">
      <alignment horizontal="center" vertical="center" wrapText="1"/>
    </xf>
    <xf numFmtId="14" fontId="29" fillId="0" borderId="1" xfId="0" applyNumberFormat="1" applyFont="1" applyBorder="1" applyAlignment="1">
      <alignment horizontal="center" vertical="center" wrapText="1"/>
    </xf>
    <xf numFmtId="0" fontId="31" fillId="0" borderId="11" xfId="9" applyFont="1" applyFill="1" applyBorder="1" applyAlignment="1">
      <alignment horizontal="center" vertical="center" wrapText="1"/>
    </xf>
    <xf numFmtId="14" fontId="29" fillId="0" borderId="1" xfId="0" applyNumberFormat="1" applyFont="1" applyFill="1" applyBorder="1" applyAlignment="1">
      <alignment horizontal="center" vertical="center" wrapText="1"/>
    </xf>
    <xf numFmtId="0" fontId="31" fillId="0" borderId="1" xfId="9" applyFont="1" applyBorder="1" applyAlignment="1">
      <alignment horizontal="center" vertical="center" wrapText="1"/>
    </xf>
    <xf numFmtId="44" fontId="29" fillId="3" borderId="1" xfId="10" applyFont="1" applyFill="1" applyBorder="1" applyAlignment="1">
      <alignment horizontal="center" vertical="center" wrapText="1"/>
    </xf>
    <xf numFmtId="44" fontId="29" fillId="0" borderId="1" xfId="10" applyFont="1" applyFill="1" applyBorder="1" applyAlignment="1">
      <alignment horizontal="center" vertical="center" wrapText="1"/>
    </xf>
    <xf numFmtId="0" fontId="37" fillId="0" borderId="0" xfId="0" applyFont="1" applyAlignment="1">
      <alignment horizontal="center" vertical="center" wrapText="1"/>
    </xf>
    <xf numFmtId="0" fontId="31" fillId="0" borderId="12" xfId="9" applyFont="1" applyFill="1" applyBorder="1" applyAlignment="1">
      <alignment horizontal="center" vertical="center" wrapText="1"/>
    </xf>
    <xf numFmtId="0" fontId="31" fillId="0" borderId="4" xfId="9" applyFont="1" applyBorder="1" applyAlignment="1">
      <alignment horizontal="center" vertical="center" wrapText="1"/>
    </xf>
    <xf numFmtId="0" fontId="31" fillId="0" borderId="7" xfId="9" applyFont="1" applyBorder="1" applyAlignment="1">
      <alignment horizontal="center" vertical="center" wrapText="1"/>
    </xf>
    <xf numFmtId="0" fontId="31" fillId="0" borderId="0" xfId="9" applyFont="1" applyBorder="1" applyAlignment="1">
      <alignment horizontal="center" vertical="center" wrapText="1"/>
    </xf>
    <xf numFmtId="164" fontId="30" fillId="0" borderId="0" xfId="0" applyNumberFormat="1" applyFont="1" applyAlignment="1">
      <alignment horizontal="center" vertical="center" wrapText="1"/>
    </xf>
    <xf numFmtId="14" fontId="29" fillId="10" borderId="1" xfId="0" applyNumberFormat="1" applyFont="1" applyFill="1" applyBorder="1" applyAlignment="1">
      <alignment horizontal="center" vertical="center" wrapText="1"/>
    </xf>
    <xf numFmtId="44" fontId="29" fillId="10" borderId="1" xfId="10" applyFont="1" applyFill="1" applyBorder="1" applyAlignment="1">
      <alignment horizontal="center" vertical="center" wrapText="1"/>
    </xf>
    <xf numFmtId="0" fontId="31" fillId="0" borderId="12" xfId="9" applyFont="1" applyBorder="1" applyAlignment="1">
      <alignment horizontal="center" vertical="center" wrapText="1"/>
    </xf>
    <xf numFmtId="0" fontId="31" fillId="0" borderId="4" xfId="9" applyFont="1" applyFill="1" applyBorder="1" applyAlignment="1">
      <alignment horizontal="center" vertical="center" wrapText="1"/>
    </xf>
    <xf numFmtId="0" fontId="31" fillId="6" borderId="4" xfId="9" applyFont="1" applyFill="1" applyBorder="1" applyAlignment="1">
      <alignment horizontal="center" vertical="center" wrapText="1"/>
    </xf>
    <xf numFmtId="14" fontId="29" fillId="4" borderId="1" xfId="0" applyNumberFormat="1" applyFont="1" applyFill="1" applyBorder="1" applyAlignment="1">
      <alignment horizontal="center" vertical="center" wrapText="1"/>
    </xf>
    <xf numFmtId="0" fontId="31" fillId="10" borderId="1" xfId="9" applyFont="1" applyFill="1" applyBorder="1" applyAlignment="1">
      <alignment horizontal="center" vertical="center" wrapText="1"/>
    </xf>
    <xf numFmtId="44" fontId="7" fillId="2" borderId="2" xfId="10" applyFont="1" applyFill="1" applyBorder="1" applyAlignment="1">
      <alignment horizontal="center" vertical="center" wrapText="1"/>
    </xf>
    <xf numFmtId="44" fontId="7" fillId="2" borderId="6" xfId="10" applyFont="1" applyFill="1" applyBorder="1" applyAlignment="1">
      <alignment horizontal="left" vertical="center" wrapText="1" indent="1"/>
    </xf>
    <xf numFmtId="44" fontId="7" fillId="2" borderId="6" xfId="10" applyFont="1" applyFill="1" applyBorder="1" applyAlignment="1">
      <alignment horizontal="center" vertical="center" wrapText="1"/>
    </xf>
    <xf numFmtId="44" fontId="30" fillId="0" borderId="0" xfId="10" applyFont="1" applyAlignment="1">
      <alignment horizontal="center" vertical="center" wrapText="1"/>
    </xf>
    <xf numFmtId="44" fontId="30" fillId="0" borderId="0" xfId="10" applyFont="1" applyFill="1" applyAlignment="1">
      <alignment horizontal="center" vertical="center" wrapText="1"/>
    </xf>
    <xf numFmtId="44" fontId="36" fillId="0" borderId="0" xfId="10" applyFont="1" applyAlignment="1">
      <alignment horizontal="center" vertical="center" wrapText="1"/>
    </xf>
    <xf numFmtId="44" fontId="30" fillId="0" borderId="0" xfId="10" applyFont="1" applyFill="1" applyBorder="1" applyAlignment="1">
      <alignment horizontal="center" vertical="center" wrapText="1"/>
    </xf>
    <xf numFmtId="44" fontId="36" fillId="0" borderId="0" xfId="10" applyFont="1" applyFill="1" applyAlignment="1">
      <alignment horizontal="center" vertical="center" wrapText="1"/>
    </xf>
    <xf numFmtId="44" fontId="30" fillId="10" borderId="0" xfId="10" applyFont="1" applyFill="1" applyAlignment="1">
      <alignment horizontal="center" vertical="center" wrapText="1"/>
    </xf>
    <xf numFmtId="44" fontId="0" fillId="0" borderId="0" xfId="10" applyFont="1" applyAlignment="1">
      <alignment horizontal="left" indent="1"/>
    </xf>
    <xf numFmtId="44" fontId="11" fillId="0" borderId="1" xfId="10" applyFont="1" applyFill="1" applyBorder="1" applyAlignment="1">
      <alignment horizontal="center" vertical="center" wrapText="1"/>
    </xf>
    <xf numFmtId="44" fontId="0" fillId="0" borderId="1" xfId="10" applyFont="1" applyFill="1" applyBorder="1" applyAlignment="1">
      <alignment horizontal="center" vertical="center"/>
    </xf>
    <xf numFmtId="44" fontId="0" fillId="0" borderId="1" xfId="10" applyFont="1" applyBorder="1" applyAlignment="1">
      <alignment horizontal="center" vertical="center"/>
    </xf>
    <xf numFmtId="44" fontId="0" fillId="0" borderId="0" xfId="10" applyFont="1" applyAlignment="1">
      <alignment horizontal="center" vertical="center"/>
    </xf>
    <xf numFmtId="44" fontId="7" fillId="2" borderId="4" xfId="10" applyFont="1" applyFill="1" applyBorder="1" applyAlignment="1">
      <alignment horizontal="center" vertical="center" wrapText="1"/>
    </xf>
    <xf numFmtId="44" fontId="7" fillId="2" borderId="3" xfId="10" applyFont="1" applyFill="1" applyBorder="1" applyAlignment="1">
      <alignment horizontal="center" vertical="center" wrapText="1"/>
    </xf>
    <xf numFmtId="44" fontId="36" fillId="0" borderId="1" xfId="10" applyFont="1" applyFill="1" applyBorder="1" applyAlignment="1">
      <alignment horizontal="center" vertical="center" wrapText="1"/>
    </xf>
    <xf numFmtId="44" fontId="29" fillId="0" borderId="4" xfId="10" applyFont="1" applyFill="1" applyBorder="1" applyAlignment="1">
      <alignment horizontal="center" vertical="center" wrapText="1"/>
    </xf>
    <xf numFmtId="44" fontId="30" fillId="0" borderId="1" xfId="10" applyFont="1" applyFill="1" applyBorder="1" applyAlignment="1">
      <alignment horizontal="center" vertical="center" wrapText="1"/>
    </xf>
    <xf numFmtId="44" fontId="36" fillId="0" borderId="4" xfId="10" applyFont="1" applyFill="1" applyBorder="1" applyAlignment="1">
      <alignment horizontal="center" vertical="center" wrapText="1"/>
    </xf>
    <xf numFmtId="44" fontId="29" fillId="0" borderId="10" xfId="10" applyFont="1" applyFill="1" applyBorder="1" applyAlignment="1">
      <alignment horizontal="center" vertical="center" wrapText="1"/>
    </xf>
    <xf numFmtId="44" fontId="5" fillId="0" borderId="0" xfId="10" applyFont="1" applyFill="1" applyBorder="1" applyAlignment="1">
      <alignment horizontal="center" vertical="center"/>
    </xf>
    <xf numFmtId="8" fontId="29" fillId="10" borderId="1" xfId="10" applyNumberFormat="1" applyFont="1" applyFill="1" applyBorder="1" applyAlignment="1">
      <alignment horizontal="center" vertical="center" wrapText="1"/>
    </xf>
    <xf numFmtId="8" fontId="29" fillId="10" borderId="1" xfId="0" applyNumberFormat="1" applyFont="1" applyFill="1" applyBorder="1" applyAlignment="1">
      <alignment horizontal="center" vertical="center" wrapText="1"/>
    </xf>
    <xf numFmtId="0" fontId="0" fillId="0" borderId="0" xfId="0" applyBorder="1"/>
    <xf numFmtId="44" fontId="30" fillId="0" borderId="0" xfId="10" applyFont="1" applyBorder="1" applyAlignment="1">
      <alignment horizontal="center" vertical="center" wrapText="1"/>
    </xf>
    <xf numFmtId="0" fontId="0" fillId="0" borderId="0" xfId="0" applyFont="1" applyBorder="1"/>
    <xf numFmtId="0" fontId="0" fillId="0" borderId="0" xfId="0" applyFont="1" applyBorder="1" applyAlignment="1">
      <alignment wrapText="1"/>
    </xf>
    <xf numFmtId="0" fontId="0" fillId="0" borderId="0" xfId="0" applyBorder="1" applyAlignment="1">
      <alignment wrapText="1"/>
    </xf>
    <xf numFmtId="8" fontId="0" fillId="0" borderId="0" xfId="0" applyNumberFormat="1" applyBorder="1"/>
    <xf numFmtId="0" fontId="12" fillId="0" borderId="0" xfId="0" applyFont="1" applyBorder="1"/>
    <xf numFmtId="43" fontId="16" fillId="0" borderId="0" xfId="0" applyNumberFormat="1" applyFont="1" applyBorder="1"/>
    <xf numFmtId="44" fontId="0" fillId="0" borderId="0" xfId="10" applyFont="1" applyFill="1" applyBorder="1" applyAlignment="1">
      <alignment horizontal="center" vertical="center"/>
    </xf>
    <xf numFmtId="44" fontId="0" fillId="0" borderId="0" xfId="10" applyFont="1" applyBorder="1" applyAlignment="1">
      <alignment horizontal="center" vertical="center"/>
    </xf>
    <xf numFmtId="44" fontId="18" fillId="0" borderId="0" xfId="10" applyFont="1" applyFill="1" applyBorder="1" applyAlignment="1">
      <alignment horizontal="center" vertical="center"/>
    </xf>
    <xf numFmtId="0" fontId="31" fillId="4" borderId="1" xfId="9" applyFont="1" applyFill="1" applyBorder="1" applyAlignment="1">
      <alignment horizontal="center" vertical="center" wrapText="1"/>
    </xf>
    <xf numFmtId="0" fontId="19" fillId="0" borderId="1" xfId="0" applyFont="1" applyBorder="1" applyAlignment="1">
      <alignment horizontal="center" wrapText="1"/>
    </xf>
    <xf numFmtId="0" fontId="19" fillId="0" borderId="1" xfId="0" applyFont="1" applyBorder="1" applyAlignment="1">
      <alignment horizontal="center" vertical="center" wrapText="1"/>
    </xf>
    <xf numFmtId="44" fontId="30" fillId="0" borderId="1" xfId="10" applyNumberFormat="1" applyFont="1" applyFill="1" applyBorder="1" applyAlignment="1">
      <alignment vertical="center"/>
    </xf>
    <xf numFmtId="0" fontId="29" fillId="0" borderId="13" xfId="0" applyFont="1" applyBorder="1" applyAlignment="1">
      <alignment horizontal="center" vertical="center" wrapText="1"/>
    </xf>
    <xf numFmtId="14" fontId="30" fillId="7" borderId="4" xfId="0" applyNumberFormat="1" applyFont="1" applyFill="1" applyBorder="1" applyAlignment="1">
      <alignment horizontal="center" vertical="center" wrapText="1"/>
    </xf>
    <xf numFmtId="14" fontId="29" fillId="7" borderId="4" xfId="0" applyNumberFormat="1" applyFont="1" applyFill="1" applyBorder="1" applyAlignment="1">
      <alignment horizontal="center" vertical="center" wrapText="1"/>
    </xf>
    <xf numFmtId="14" fontId="29" fillId="0" borderId="4" xfId="0" applyNumberFormat="1" applyFont="1" applyBorder="1" applyAlignment="1">
      <alignment horizontal="center" vertical="center" wrapText="1"/>
    </xf>
    <xf numFmtId="0" fontId="29" fillId="0" borderId="10" xfId="0" applyFont="1" applyBorder="1" applyAlignment="1">
      <alignment horizontal="center" vertical="center" wrapText="1"/>
    </xf>
    <xf numFmtId="0" fontId="29" fillId="10" borderId="10" xfId="0" applyFont="1" applyFill="1" applyBorder="1" applyAlignment="1">
      <alignment horizontal="center" vertical="center" wrapText="1"/>
    </xf>
    <xf numFmtId="0" fontId="29" fillId="7" borderId="10" xfId="0" applyFont="1" applyFill="1" applyBorder="1" applyAlignment="1">
      <alignment horizontal="center" vertical="center" wrapText="1"/>
    </xf>
    <xf numFmtId="14" fontId="29" fillId="7" borderId="10" xfId="0" applyNumberFormat="1" applyFont="1" applyFill="1" applyBorder="1" applyAlignment="1">
      <alignment horizontal="center" vertical="center" wrapText="1"/>
    </xf>
    <xf numFmtId="14" fontId="30" fillId="7" borderId="10" xfId="0" applyNumberFormat="1" applyFont="1" applyFill="1" applyBorder="1" applyAlignment="1">
      <alignment horizontal="center" vertical="center" wrapText="1"/>
    </xf>
    <xf numFmtId="0" fontId="30" fillId="7" borderId="10" xfId="0" applyFont="1" applyFill="1" applyBorder="1" applyAlignment="1">
      <alignment horizontal="center" vertical="center" wrapText="1"/>
    </xf>
    <xf numFmtId="0" fontId="31" fillId="0" borderId="10" xfId="9" applyFont="1" applyBorder="1" applyAlignment="1">
      <alignment horizontal="center" vertical="center" wrapText="1"/>
    </xf>
    <xf numFmtId="0" fontId="29" fillId="0" borderId="14" xfId="0" applyFont="1" applyBorder="1" applyAlignment="1">
      <alignment horizontal="center" vertical="center" wrapText="1"/>
    </xf>
    <xf numFmtId="14" fontId="29" fillId="0" borderId="10" xfId="0" applyNumberFormat="1" applyFont="1" applyBorder="1" applyAlignment="1">
      <alignment horizontal="center" vertical="center" wrapText="1"/>
    </xf>
    <xf numFmtId="44" fontId="30" fillId="0" borderId="1" xfId="10" applyFont="1" applyBorder="1" applyAlignment="1">
      <alignment horizontal="center" vertical="center" wrapText="1"/>
    </xf>
    <xf numFmtId="0" fontId="20" fillId="0" borderId="0" xfId="0" applyFont="1" applyAlignment="1">
      <alignment horizontal="center" vertical="center" wrapText="1"/>
    </xf>
    <xf numFmtId="0" fontId="19" fillId="0" borderId="0" xfId="0" applyFont="1" applyAlignment="1">
      <alignment horizontal="center" vertical="center" wrapText="1"/>
    </xf>
    <xf numFmtId="0" fontId="0" fillId="0" borderId="0" xfId="0" applyAlignment="1">
      <alignment vertical="center"/>
    </xf>
    <xf numFmtId="0" fontId="0" fillId="0" borderId="0" xfId="0" applyAlignment="1">
      <alignment horizontal="center" vertical="center"/>
    </xf>
    <xf numFmtId="0" fontId="20" fillId="0" borderId="0" xfId="0" applyFont="1" applyAlignment="1">
      <alignment horizontal="center" vertical="center"/>
    </xf>
    <xf numFmtId="0" fontId="19" fillId="0" borderId="0" xfId="0" applyFont="1" applyAlignment="1">
      <alignment horizontal="center" vertical="center"/>
    </xf>
    <xf numFmtId="165" fontId="19" fillId="0" borderId="0" xfId="0" applyNumberFormat="1" applyFont="1" applyAlignment="1">
      <alignment horizontal="center" vertical="center"/>
    </xf>
    <xf numFmtId="4" fontId="19" fillId="0" borderId="0" xfId="0" applyNumberFormat="1" applyFont="1" applyAlignment="1">
      <alignment horizontal="center" wrapText="1"/>
    </xf>
    <xf numFmtId="0" fontId="19" fillId="0" borderId="0" xfId="0" applyFont="1"/>
    <xf numFmtId="165" fontId="26" fillId="0" borderId="0" xfId="0" applyNumberFormat="1" applyFont="1" applyAlignment="1">
      <alignment horizontal="center" vertical="center"/>
    </xf>
    <xf numFmtId="14" fontId="19" fillId="0" borderId="0" xfId="0" applyNumberFormat="1" applyFont="1" applyAlignment="1">
      <alignment horizontal="center" vertical="center"/>
    </xf>
    <xf numFmtId="4" fontId="19" fillId="0" borderId="0" xfId="0" applyNumberFormat="1" applyFont="1" applyAlignment="1">
      <alignment horizontal="center" vertical="center" wrapText="1"/>
    </xf>
    <xf numFmtId="0" fontId="38" fillId="0" borderId="0" xfId="0" applyFont="1" applyAlignment="1">
      <alignment horizontal="center" vertical="center"/>
    </xf>
    <xf numFmtId="0" fontId="26" fillId="0" borderId="0" xfId="0" applyFont="1" applyAlignment="1">
      <alignment horizontal="center" vertical="center" wrapText="1"/>
    </xf>
    <xf numFmtId="0" fontId="19" fillId="0" borderId="0" xfId="0" applyFont="1" applyBorder="1" applyAlignment="1">
      <alignment horizontal="center" vertical="center" wrapText="1"/>
    </xf>
    <xf numFmtId="0" fontId="25" fillId="2" borderId="4" xfId="0" applyFont="1" applyFill="1" applyBorder="1" applyAlignment="1">
      <alignment horizontal="center" vertical="center" wrapText="1"/>
    </xf>
    <xf numFmtId="0" fontId="29" fillId="4" borderId="4" xfId="0" applyFont="1" applyFill="1" applyBorder="1" applyAlignment="1">
      <alignment horizontal="center" vertical="center" wrapText="1"/>
    </xf>
    <xf numFmtId="0" fontId="19" fillId="0" borderId="10" xfId="0" applyFont="1" applyBorder="1" applyAlignment="1">
      <alignment horizontal="center" wrapText="1"/>
    </xf>
    <xf numFmtId="0" fontId="30" fillId="3" borderId="1" xfId="0" applyFont="1" applyFill="1" applyBorder="1" applyAlignment="1">
      <alignment horizontal="center" vertical="center" wrapText="1"/>
    </xf>
    <xf numFmtId="0" fontId="30" fillId="11" borderId="1" xfId="0" applyFont="1" applyFill="1" applyBorder="1" applyAlignment="1">
      <alignment horizontal="center" vertical="center"/>
    </xf>
    <xf numFmtId="44" fontId="9" fillId="3" borderId="1" xfId="10" applyFont="1" applyFill="1" applyBorder="1"/>
    <xf numFmtId="0" fontId="9" fillId="0" borderId="1" xfId="0" applyFont="1" applyFill="1" applyBorder="1" applyAlignment="1">
      <alignment wrapText="1"/>
    </xf>
    <xf numFmtId="0" fontId="30" fillId="0" borderId="0" xfId="0" applyFont="1" applyFill="1"/>
    <xf numFmtId="44" fontId="9" fillId="0" borderId="1" xfId="10" applyFont="1" applyFill="1" applyBorder="1"/>
    <xf numFmtId="14" fontId="30" fillId="4" borderId="1" xfId="0" applyNumberFormat="1" applyFont="1" applyFill="1" applyBorder="1" applyAlignment="1">
      <alignment horizontal="center" vertical="center"/>
    </xf>
    <xf numFmtId="14" fontId="30" fillId="4" borderId="1" xfId="0" applyNumberFormat="1" applyFont="1" applyFill="1" applyBorder="1" applyAlignment="1">
      <alignment horizontal="center" vertical="center" wrapText="1"/>
    </xf>
    <xf numFmtId="0" fontId="31" fillId="4" borderId="1" xfId="9" applyFont="1" applyFill="1" applyBorder="1" applyAlignment="1">
      <alignment horizontal="center" vertical="center"/>
    </xf>
    <xf numFmtId="166" fontId="30" fillId="4" borderId="1" xfId="0" applyNumberFormat="1" applyFont="1" applyFill="1" applyBorder="1" applyAlignment="1">
      <alignment horizontal="center" vertical="center"/>
    </xf>
    <xf numFmtId="44" fontId="30" fillId="4" borderId="1" xfId="10" applyFont="1" applyFill="1" applyBorder="1" applyAlignment="1">
      <alignment horizontal="center" vertical="center"/>
    </xf>
    <xf numFmtId="0" fontId="9" fillId="9" borderId="1" xfId="0" applyFont="1" applyFill="1" applyBorder="1" applyAlignment="1">
      <alignment horizontal="center"/>
    </xf>
    <xf numFmtId="0" fontId="9" fillId="9" borderId="1" xfId="0" applyFont="1" applyFill="1" applyBorder="1"/>
    <xf numFmtId="0" fontId="9" fillId="9" borderId="1" xfId="0" applyFont="1" applyFill="1" applyBorder="1" applyAlignment="1">
      <alignment wrapText="1"/>
    </xf>
    <xf numFmtId="0" fontId="9" fillId="9" borderId="1" xfId="0" applyFont="1" applyFill="1" applyBorder="1" applyAlignment="1">
      <alignment horizontal="center" vertical="center"/>
    </xf>
    <xf numFmtId="44" fontId="30" fillId="9" borderId="1" xfId="10" applyFont="1" applyFill="1" applyBorder="1"/>
    <xf numFmtId="166" fontId="33" fillId="9" borderId="1" xfId="0" applyNumberFormat="1" applyFont="1" applyFill="1" applyBorder="1"/>
    <xf numFmtId="44" fontId="9" fillId="9" borderId="1" xfId="10" applyNumberFormat="1" applyFont="1" applyFill="1" applyBorder="1"/>
    <xf numFmtId="44" fontId="30" fillId="9" borderId="1" xfId="10" applyNumberFormat="1" applyFont="1" applyFill="1" applyBorder="1" applyAlignment="1">
      <alignment vertical="center"/>
    </xf>
    <xf numFmtId="44" fontId="30" fillId="9" borderId="1" xfId="10" applyNumberFormat="1" applyFont="1" applyFill="1" applyBorder="1" applyAlignment="1">
      <alignment horizontal="center" vertical="center"/>
    </xf>
    <xf numFmtId="0" fontId="0" fillId="9" borderId="1" xfId="0" applyFill="1" applyBorder="1"/>
    <xf numFmtId="0" fontId="19" fillId="4" borderId="0" xfId="0" applyFont="1" applyFill="1" applyAlignment="1">
      <alignment horizontal="center" vertical="center"/>
    </xf>
    <xf numFmtId="0" fontId="19" fillId="4" borderId="0" xfId="0" applyFont="1" applyFill="1" applyAlignment="1">
      <alignment horizontal="center" vertical="center" wrapText="1"/>
    </xf>
    <xf numFmtId="165" fontId="19" fillId="4" borderId="0" xfId="0" applyNumberFormat="1" applyFont="1" applyFill="1" applyAlignment="1">
      <alignment horizontal="center" vertical="center"/>
    </xf>
    <xf numFmtId="0" fontId="19" fillId="4" borderId="0" xfId="0" applyFont="1" applyFill="1"/>
    <xf numFmtId="0" fontId="0" fillId="4" borderId="0" xfId="0" applyFill="1"/>
    <xf numFmtId="0" fontId="19" fillId="11" borderId="0" xfId="0" applyFont="1" applyFill="1" applyAlignment="1">
      <alignment horizontal="center" vertical="center"/>
    </xf>
    <xf numFmtId="0" fontId="19" fillId="11" borderId="0" xfId="0" applyFont="1" applyFill="1" applyAlignment="1">
      <alignment horizontal="center" vertical="center" wrapText="1"/>
    </xf>
    <xf numFmtId="165" fontId="19" fillId="11" borderId="0" xfId="0" applyNumberFormat="1" applyFont="1" applyFill="1" applyAlignment="1">
      <alignment horizontal="center" vertical="center"/>
    </xf>
    <xf numFmtId="0" fontId="15" fillId="11" borderId="0" xfId="9" applyFill="1"/>
    <xf numFmtId="0" fontId="19" fillId="11" borderId="0" xfId="0" applyFont="1" applyFill="1"/>
    <xf numFmtId="0" fontId="0" fillId="11" borderId="0" xfId="0" applyFill="1"/>
    <xf numFmtId="14" fontId="19" fillId="11" borderId="0" xfId="0" applyNumberFormat="1" applyFont="1" applyFill="1" applyAlignment="1">
      <alignment horizontal="center" vertical="center"/>
    </xf>
    <xf numFmtId="0" fontId="40" fillId="11" borderId="0" xfId="0" applyFont="1" applyFill="1" applyAlignment="1">
      <alignment wrapText="1"/>
    </xf>
    <xf numFmtId="0" fontId="19" fillId="12" borderId="0" xfId="0" applyFont="1" applyFill="1" applyAlignment="1">
      <alignment horizontal="center" vertical="center"/>
    </xf>
    <xf numFmtId="0" fontId="19" fillId="12" borderId="0" xfId="0" applyFont="1" applyFill="1" applyAlignment="1">
      <alignment horizontal="center" vertical="center" wrapText="1"/>
    </xf>
    <xf numFmtId="165" fontId="19" fillId="12" borderId="0" xfId="0" applyNumberFormat="1" applyFont="1" applyFill="1" applyAlignment="1">
      <alignment horizontal="center" vertical="center"/>
    </xf>
    <xf numFmtId="0" fontId="19" fillId="12" borderId="0" xfId="0" applyFont="1" applyFill="1"/>
    <xf numFmtId="0" fontId="0" fillId="12" borderId="0" xfId="0" applyFill="1"/>
    <xf numFmtId="14" fontId="19" fillId="12" borderId="0" xfId="0" applyNumberFormat="1" applyFont="1" applyFill="1" applyAlignment="1">
      <alignment horizontal="center" vertical="center"/>
    </xf>
    <xf numFmtId="0" fontId="19" fillId="13" borderId="0" xfId="0" applyFont="1" applyFill="1" applyAlignment="1">
      <alignment horizontal="center" vertical="center"/>
    </xf>
    <xf numFmtId="0" fontId="19" fillId="13" borderId="0" xfId="0" applyFont="1" applyFill="1" applyAlignment="1">
      <alignment horizontal="center" vertical="center" wrapText="1"/>
    </xf>
    <xf numFmtId="165" fontId="19" fillId="13" borderId="0" xfId="0" applyNumberFormat="1" applyFont="1" applyFill="1" applyAlignment="1">
      <alignment horizontal="center" vertical="center"/>
    </xf>
    <xf numFmtId="0" fontId="19" fillId="13" borderId="0" xfId="0" applyFont="1" applyFill="1" applyAlignment="1">
      <alignment wrapText="1"/>
    </xf>
    <xf numFmtId="0" fontId="19" fillId="13" borderId="0" xfId="0" applyFont="1" applyFill="1"/>
    <xf numFmtId="0" fontId="0" fillId="13" borderId="0" xfId="0" applyFill="1"/>
    <xf numFmtId="0" fontId="19" fillId="11" borderId="0" xfId="0" applyFont="1" applyFill="1" applyAlignment="1">
      <alignment wrapText="1"/>
    </xf>
    <xf numFmtId="0" fontId="41" fillId="0" borderId="1" xfId="0" applyFont="1" applyBorder="1" applyAlignment="1">
      <alignment horizontal="center" vertical="center" wrapText="1"/>
    </xf>
    <xf numFmtId="0" fontId="30" fillId="12"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44" fontId="29" fillId="4" borderId="1" xfId="10" applyFont="1" applyFill="1" applyBorder="1" applyAlignment="1">
      <alignment horizontal="center" vertical="center" wrapText="1"/>
    </xf>
    <xf numFmtId="44" fontId="29" fillId="4" borderId="4" xfId="10" applyFont="1" applyFill="1" applyBorder="1" applyAlignment="1">
      <alignment horizontal="center" vertical="center" wrapText="1"/>
    </xf>
    <xf numFmtId="44" fontId="29" fillId="11" borderId="1" xfId="10" applyFont="1" applyFill="1" applyBorder="1" applyAlignment="1">
      <alignment horizontal="center" vertical="center" wrapText="1"/>
    </xf>
    <xf numFmtId="166" fontId="30" fillId="11" borderId="1" xfId="0" applyNumberFormat="1" applyFont="1" applyFill="1" applyBorder="1" applyAlignment="1">
      <alignment horizontal="center" vertical="center"/>
    </xf>
    <xf numFmtId="44" fontId="30" fillId="11" borderId="1" xfId="10" applyFont="1" applyFill="1" applyBorder="1" applyAlignment="1">
      <alignment horizontal="center" vertical="center"/>
    </xf>
    <xf numFmtId="44" fontId="30" fillId="11" borderId="1" xfId="10" applyFont="1" applyFill="1" applyBorder="1"/>
    <xf numFmtId="166" fontId="30" fillId="11" borderId="1" xfId="0" applyNumberFormat="1" applyFont="1" applyFill="1" applyBorder="1"/>
    <xf numFmtId="44" fontId="9" fillId="11" borderId="1" xfId="10" applyFont="1" applyFill="1" applyBorder="1"/>
    <xf numFmtId="44" fontId="29" fillId="11" borderId="10" xfId="10" applyFont="1" applyFill="1" applyBorder="1" applyAlignment="1">
      <alignment horizontal="center" vertical="center" wrapText="1"/>
    </xf>
    <xf numFmtId="44" fontId="36" fillId="4" borderId="1" xfId="10" applyFont="1" applyFill="1" applyBorder="1" applyAlignment="1">
      <alignment horizontal="center" vertical="center" wrapText="1"/>
    </xf>
    <xf numFmtId="0" fontId="42" fillId="0" borderId="1" xfId="0" applyFont="1" applyBorder="1" applyAlignment="1">
      <alignment horizontal="center" vertical="center" wrapText="1"/>
    </xf>
    <xf numFmtId="0" fontId="9" fillId="13" borderId="1" xfId="0" applyFont="1" applyFill="1" applyBorder="1" applyAlignment="1">
      <alignment horizontal="center" vertical="center"/>
    </xf>
    <xf numFmtId="0" fontId="30" fillId="13" borderId="1" xfId="0" applyFont="1" applyFill="1" applyBorder="1" applyAlignment="1">
      <alignment horizontal="center" vertical="center"/>
    </xf>
    <xf numFmtId="0" fontId="30" fillId="13" borderId="1" xfId="0" applyFont="1" applyFill="1" applyBorder="1" applyAlignment="1">
      <alignment horizontal="center" vertical="center" wrapText="1"/>
    </xf>
    <xf numFmtId="0" fontId="30" fillId="13" borderId="1" xfId="0" applyFont="1" applyFill="1" applyBorder="1"/>
    <xf numFmtId="0" fontId="30" fillId="13" borderId="1" xfId="0" applyFont="1" applyFill="1" applyBorder="1" applyAlignment="1">
      <alignment wrapText="1"/>
    </xf>
    <xf numFmtId="14" fontId="30" fillId="13" borderId="1" xfId="0" applyNumberFormat="1" applyFont="1" applyFill="1" applyBorder="1" applyAlignment="1">
      <alignment horizontal="center" vertical="center"/>
    </xf>
    <xf numFmtId="44" fontId="30" fillId="13" borderId="1" xfId="10" applyFont="1" applyFill="1" applyBorder="1"/>
    <xf numFmtId="44" fontId="9" fillId="13" borderId="1" xfId="10" applyFont="1" applyFill="1" applyBorder="1"/>
    <xf numFmtId="44" fontId="30" fillId="13" borderId="1" xfId="10" applyNumberFormat="1" applyFont="1" applyFill="1" applyBorder="1"/>
    <xf numFmtId="44" fontId="9" fillId="13" borderId="1" xfId="10" applyNumberFormat="1" applyFont="1" applyFill="1" applyBorder="1"/>
    <xf numFmtId="0" fontId="9" fillId="0" borderId="1" xfId="0" applyFont="1" applyBorder="1" applyAlignment="1">
      <alignment horizontal="center" vertical="center" wrapText="1"/>
    </xf>
    <xf numFmtId="166" fontId="9" fillId="0" borderId="1" xfId="0" applyNumberFormat="1" applyFont="1" applyBorder="1" applyAlignment="1">
      <alignment horizontal="center" vertical="center"/>
    </xf>
    <xf numFmtId="0" fontId="9" fillId="0" borderId="1" xfId="0" applyFont="1" applyFill="1" applyBorder="1" applyAlignment="1">
      <alignment horizontal="center" vertical="center"/>
    </xf>
    <xf numFmtId="44" fontId="9" fillId="0" borderId="1" xfId="10" applyNumberFormat="1" applyFont="1" applyBorder="1" applyAlignment="1">
      <alignment horizontal="center" vertical="center"/>
    </xf>
    <xf numFmtId="0" fontId="43" fillId="0" borderId="1" xfId="0" applyFont="1" applyFill="1" applyBorder="1" applyAlignment="1">
      <alignment horizontal="center" vertical="center" wrapText="1"/>
    </xf>
    <xf numFmtId="0" fontId="19" fillId="0" borderId="1" xfId="0" applyFont="1" applyFill="1" applyBorder="1" applyAlignment="1">
      <alignment horizontal="center" wrapText="1"/>
    </xf>
    <xf numFmtId="0" fontId="29" fillId="0" borderId="14" xfId="0" applyFont="1" applyFill="1" applyBorder="1" applyAlignment="1">
      <alignment horizontal="center" vertical="center"/>
    </xf>
    <xf numFmtId="14" fontId="29" fillId="0" borderId="14" xfId="0" applyNumberFormat="1" applyFont="1" applyFill="1" applyBorder="1" applyAlignment="1">
      <alignment horizontal="center" vertical="center"/>
    </xf>
    <xf numFmtId="0" fontId="29" fillId="7" borderId="14" xfId="0" applyFont="1" applyFill="1" applyBorder="1" applyAlignment="1">
      <alignment horizontal="center" vertical="center"/>
    </xf>
    <xf numFmtId="14" fontId="29" fillId="7" borderId="14" xfId="0" applyNumberFormat="1" applyFont="1" applyFill="1" applyBorder="1" applyAlignment="1">
      <alignment horizontal="center" vertical="center"/>
    </xf>
    <xf numFmtId="14" fontId="29" fillId="7" borderId="14" xfId="0" applyNumberFormat="1" applyFont="1" applyFill="1" applyBorder="1" applyAlignment="1">
      <alignment horizontal="center" vertical="center" wrapText="1"/>
    </xf>
    <xf numFmtId="0" fontId="19" fillId="3" borderId="0" xfId="0" applyFont="1" applyFill="1" applyAlignment="1">
      <alignment horizontal="center" vertical="center"/>
    </xf>
    <xf numFmtId="0" fontId="19" fillId="3" borderId="0" xfId="0" applyFont="1" applyFill="1" applyAlignment="1">
      <alignment horizontal="center" vertical="center" wrapText="1"/>
    </xf>
    <xf numFmtId="165" fontId="19" fillId="3" borderId="0" xfId="0" applyNumberFormat="1" applyFont="1" applyFill="1" applyAlignment="1">
      <alignment horizontal="center" vertical="center"/>
    </xf>
    <xf numFmtId="0" fontId="19" fillId="3" borderId="0" xfId="0" applyFont="1" applyFill="1"/>
    <xf numFmtId="0" fontId="19" fillId="3" borderId="0" xfId="0" applyFont="1" applyFill="1" applyAlignment="1">
      <alignment wrapText="1"/>
    </xf>
    <xf numFmtId="0" fontId="15" fillId="3" borderId="0" xfId="9" applyFill="1"/>
    <xf numFmtId="14" fontId="26" fillId="3" borderId="0" xfId="0" applyNumberFormat="1" applyFont="1" applyFill="1" applyAlignment="1">
      <alignment horizontal="center" vertical="center"/>
    </xf>
    <xf numFmtId="165" fontId="26" fillId="3" borderId="0" xfId="0" applyNumberFormat="1" applyFont="1" applyFill="1" applyAlignment="1">
      <alignment horizontal="center" vertical="center"/>
    </xf>
    <xf numFmtId="0" fontId="15" fillId="3" borderId="0" xfId="9" applyFill="1" applyAlignment="1">
      <alignment wrapText="1"/>
    </xf>
    <xf numFmtId="166" fontId="9" fillId="0" borderId="1" xfId="0" applyNumberFormat="1" applyFont="1" applyFill="1" applyBorder="1"/>
    <xf numFmtId="0" fontId="26" fillId="3" borderId="0" xfId="0" applyFont="1" applyFill="1" applyAlignment="1">
      <alignment horizontal="center" vertical="center"/>
    </xf>
    <xf numFmtId="0" fontId="26" fillId="3" borderId="0" xfId="0" applyFont="1" applyFill="1" applyAlignment="1">
      <alignment horizontal="center" vertical="center" wrapText="1"/>
    </xf>
    <xf numFmtId="0" fontId="26" fillId="3" borderId="0" xfId="0" applyFont="1" applyFill="1" applyAlignment="1">
      <alignment wrapText="1"/>
    </xf>
    <xf numFmtId="0" fontId="26" fillId="0" borderId="0" xfId="0" applyFont="1"/>
    <xf numFmtId="8" fontId="30" fillId="0" borderId="1" xfId="10" applyNumberFormat="1" applyFont="1" applyFill="1" applyBorder="1"/>
    <xf numFmtId="8" fontId="30" fillId="3" borderId="1" xfId="10" applyNumberFormat="1" applyFont="1" applyFill="1" applyBorder="1"/>
    <xf numFmtId="164" fontId="41" fillId="3" borderId="15" xfId="13" applyNumberFormat="1" applyFont="1" applyFill="1" applyBorder="1"/>
    <xf numFmtId="44" fontId="9" fillId="0" borderId="1" xfId="10" applyNumberFormat="1" applyFont="1" applyFill="1" applyBorder="1"/>
    <xf numFmtId="0" fontId="0" fillId="0" borderId="1" xfId="0" applyFill="1" applyBorder="1"/>
    <xf numFmtId="0" fontId="9" fillId="4" borderId="1" xfId="0" applyFont="1" applyFill="1" applyBorder="1"/>
    <xf numFmtId="44" fontId="9" fillId="4" borderId="1" xfId="10" applyFont="1" applyFill="1" applyBorder="1"/>
    <xf numFmtId="166" fontId="30" fillId="4" borderId="1" xfId="0" applyNumberFormat="1" applyFont="1" applyFill="1" applyBorder="1"/>
    <xf numFmtId="0" fontId="9" fillId="4" borderId="1" xfId="0" applyFont="1" applyFill="1" applyBorder="1" applyAlignment="1">
      <alignment wrapText="1"/>
    </xf>
    <xf numFmtId="44" fontId="9" fillId="4" borderId="1" xfId="10" applyNumberFormat="1" applyFont="1" applyFill="1" applyBorder="1"/>
    <xf numFmtId="14" fontId="30" fillId="13" borderId="1" xfId="0" applyNumberFormat="1" applyFont="1" applyFill="1" applyBorder="1" applyAlignment="1">
      <alignment horizontal="center" vertical="center" wrapText="1"/>
    </xf>
    <xf numFmtId="0" fontId="44" fillId="9" borderId="0" xfId="0" applyFont="1" applyFill="1"/>
    <xf numFmtId="0" fontId="45" fillId="9" borderId="1" xfId="0" applyFont="1" applyFill="1" applyBorder="1" applyAlignment="1">
      <alignment horizontal="center" vertical="center" wrapText="1"/>
    </xf>
    <xf numFmtId="0" fontId="46" fillId="9" borderId="1" xfId="0" applyFont="1" applyFill="1" applyBorder="1" applyAlignment="1">
      <alignment horizontal="center" vertical="center" wrapText="1"/>
    </xf>
    <xf numFmtId="0" fontId="46" fillId="9" borderId="1" xfId="0" applyFont="1" applyFill="1" applyBorder="1" applyAlignment="1">
      <alignment horizontal="center" vertical="center"/>
    </xf>
    <xf numFmtId="14" fontId="46" fillId="9" borderId="1" xfId="0" applyNumberFormat="1" applyFont="1" applyFill="1" applyBorder="1" applyAlignment="1">
      <alignment horizontal="center" vertical="center"/>
    </xf>
    <xf numFmtId="44" fontId="46" fillId="9" borderId="1" xfId="10" applyFont="1" applyFill="1" applyBorder="1" applyAlignment="1">
      <alignment horizontal="center" vertical="center"/>
    </xf>
    <xf numFmtId="0" fontId="44" fillId="9" borderId="0" xfId="0" applyFont="1" applyFill="1" applyAlignment="1">
      <alignment wrapText="1"/>
    </xf>
    <xf numFmtId="44" fontId="44" fillId="9" borderId="0" xfId="10" applyFont="1" applyFill="1"/>
    <xf numFmtId="44" fontId="36" fillId="9" borderId="0" xfId="10" applyFont="1" applyFill="1" applyAlignment="1">
      <alignment horizontal="center" vertical="center" wrapText="1"/>
    </xf>
    <xf numFmtId="0" fontId="30" fillId="7" borderId="1" xfId="0" applyFont="1" applyFill="1" applyBorder="1"/>
    <xf numFmtId="0" fontId="30" fillId="7" borderId="1" xfId="0" applyFont="1" applyFill="1" applyBorder="1" applyAlignment="1">
      <alignment wrapText="1"/>
    </xf>
    <xf numFmtId="44" fontId="30" fillId="3" borderId="1" xfId="10" applyNumberFormat="1" applyFont="1" applyFill="1" applyBorder="1" applyAlignment="1">
      <alignment horizontal="center" vertical="center"/>
    </xf>
    <xf numFmtId="14" fontId="30" fillId="9" borderId="1" xfId="0" applyNumberFormat="1" applyFont="1" applyFill="1" applyBorder="1" applyAlignment="1">
      <alignment horizontal="center" vertical="center" wrapText="1"/>
    </xf>
    <xf numFmtId="14" fontId="9" fillId="0" borderId="1" xfId="0" applyNumberFormat="1" applyFont="1" applyBorder="1" applyAlignment="1">
      <alignment horizontal="center" vertical="center"/>
    </xf>
    <xf numFmtId="8" fontId="39" fillId="0" borderId="0" xfId="0" applyNumberFormat="1" applyFont="1" applyAlignment="1">
      <alignment horizontal="center"/>
    </xf>
    <xf numFmtId="0" fontId="9" fillId="13" borderId="1" xfId="0" applyFont="1" applyFill="1" applyBorder="1"/>
    <xf numFmtId="0" fontId="31" fillId="13" borderId="1" xfId="9" applyFont="1" applyFill="1" applyBorder="1" applyAlignment="1">
      <alignment horizontal="center" vertical="center" wrapText="1"/>
    </xf>
    <xf numFmtId="0" fontId="9" fillId="13" borderId="1" xfId="0" applyFont="1" applyFill="1" applyBorder="1" applyAlignment="1">
      <alignment wrapText="1"/>
    </xf>
    <xf numFmtId="44" fontId="30" fillId="13" borderId="1" xfId="10" applyNumberFormat="1" applyFont="1" applyFill="1" applyBorder="1" applyAlignment="1">
      <alignment horizontal="center" vertical="center"/>
    </xf>
    <xf numFmtId="0" fontId="0" fillId="13" borderId="1" xfId="0" applyFill="1" applyBorder="1"/>
    <xf numFmtId="0" fontId="31" fillId="13" borderId="1" xfId="9" applyFont="1" applyFill="1" applyBorder="1" applyAlignment="1">
      <alignment horizontal="center" vertical="center"/>
    </xf>
    <xf numFmtId="44" fontId="9" fillId="0" borderId="1" xfId="10" applyFont="1" applyFill="1" applyBorder="1" applyAlignment="1">
      <alignment horizontal="center" vertical="center"/>
    </xf>
    <xf numFmtId="44" fontId="9" fillId="13" borderId="1" xfId="10" applyFont="1" applyFill="1" applyBorder="1" applyAlignment="1">
      <alignment horizontal="center" vertical="center"/>
    </xf>
    <xf numFmtId="44" fontId="30" fillId="13" borderId="1" xfId="10" applyFont="1" applyFill="1" applyBorder="1" applyAlignment="1">
      <alignment horizontal="center" vertical="center"/>
    </xf>
    <xf numFmtId="166" fontId="30" fillId="13" borderId="1" xfId="0" applyNumberFormat="1" applyFont="1" applyFill="1" applyBorder="1" applyAlignment="1">
      <alignment horizontal="center" vertical="center"/>
    </xf>
    <xf numFmtId="44" fontId="9" fillId="9" borderId="1" xfId="10" applyFont="1" applyFill="1" applyBorder="1" applyAlignment="1">
      <alignment horizontal="center" vertical="center"/>
    </xf>
    <xf numFmtId="44" fontId="9" fillId="0" borderId="1" xfId="10" applyFont="1" applyBorder="1" applyAlignment="1">
      <alignment horizontal="center" vertical="center"/>
    </xf>
    <xf numFmtId="0" fontId="38" fillId="0" borderId="1" xfId="0" applyFont="1" applyBorder="1" applyAlignment="1">
      <alignment horizontal="center" wrapText="1"/>
    </xf>
    <xf numFmtId="14" fontId="36" fillId="7" borderId="1" xfId="0" applyNumberFormat="1" applyFont="1" applyFill="1" applyBorder="1" applyAlignment="1">
      <alignment horizontal="center" vertical="center"/>
    </xf>
    <xf numFmtId="0" fontId="44" fillId="0" borderId="1" xfId="0" applyFont="1" applyBorder="1"/>
    <xf numFmtId="0" fontId="36" fillId="7" borderId="1" xfId="0" applyFont="1" applyFill="1" applyBorder="1" applyAlignment="1">
      <alignment horizontal="center" vertical="center"/>
    </xf>
    <xf numFmtId="0" fontId="66" fillId="0" borderId="1" xfId="0" applyFont="1" applyBorder="1" applyAlignment="1">
      <alignment wrapText="1"/>
    </xf>
    <xf numFmtId="0" fontId="36" fillId="0" borderId="1" xfId="0" applyFont="1" applyBorder="1" applyAlignment="1">
      <alignment horizontal="center" vertical="center"/>
    </xf>
    <xf numFmtId="14" fontId="36" fillId="7" borderId="1" xfId="0" applyNumberFormat="1" applyFont="1" applyFill="1" applyBorder="1" applyAlignment="1">
      <alignment horizontal="center" vertical="center" wrapText="1"/>
    </xf>
    <xf numFmtId="0" fontId="36" fillId="0" borderId="1" xfId="0" applyFont="1" applyBorder="1" applyAlignment="1">
      <alignment horizontal="center"/>
    </xf>
    <xf numFmtId="14" fontId="36" fillId="0" borderId="1" xfId="0" applyNumberFormat="1" applyFont="1" applyBorder="1" applyAlignment="1">
      <alignment horizontal="center" vertical="center"/>
    </xf>
    <xf numFmtId="0" fontId="36" fillId="0" borderId="0" xfId="68" applyFont="1" applyAlignment="1">
      <alignment horizontal="center" vertical="center"/>
    </xf>
    <xf numFmtId="0" fontId="19" fillId="0" borderId="1" xfId="0" applyFont="1" applyBorder="1"/>
    <xf numFmtId="0" fontId="67" fillId="45" borderId="1" xfId="0" applyFont="1" applyFill="1" applyBorder="1" applyAlignment="1">
      <alignment horizontal="center" vertical="center" wrapText="1"/>
    </xf>
    <xf numFmtId="9" fontId="30" fillId="0" borderId="1" xfId="0" applyNumberFormat="1" applyFont="1" applyBorder="1" applyAlignment="1">
      <alignment horizontal="center" vertical="center" wrapText="1"/>
    </xf>
    <xf numFmtId="44" fontId="7" fillId="2" borderId="1" xfId="10" applyFont="1" applyFill="1" applyBorder="1" applyAlignment="1">
      <alignment horizontal="center" vertical="center" wrapText="1"/>
    </xf>
    <xf numFmtId="44" fontId="7" fillId="2" borderId="1" xfId="10" applyFont="1" applyFill="1" applyBorder="1" applyAlignment="1">
      <alignment horizontal="left" vertical="center" wrapText="1" indent="1"/>
    </xf>
    <xf numFmtId="0" fontId="65" fillId="0" borderId="1" xfId="9" applyFont="1" applyFill="1" applyBorder="1" applyAlignment="1">
      <alignment horizontal="center" vertical="center"/>
    </xf>
    <xf numFmtId="44" fontId="66" fillId="0" borderId="1" xfId="10" applyFont="1" applyFill="1" applyBorder="1"/>
    <xf numFmtId="44" fontId="36" fillId="0" borderId="1" xfId="10" applyFont="1" applyFill="1" applyBorder="1" applyAlignment="1">
      <alignment horizontal="center" vertical="center"/>
    </xf>
    <xf numFmtId="166" fontId="36" fillId="0" borderId="1" xfId="0" applyNumberFormat="1" applyFont="1" applyBorder="1" applyAlignment="1">
      <alignment horizontal="center" vertical="center"/>
    </xf>
    <xf numFmtId="44" fontId="36" fillId="0" borderId="1" xfId="10" applyFont="1" applyFill="1" applyBorder="1"/>
    <xf numFmtId="166" fontId="30" fillId="0" borderId="1" xfId="0" applyNumberFormat="1" applyFont="1" applyBorder="1"/>
    <xf numFmtId="44" fontId="30" fillId="0" borderId="1" xfId="10" applyFont="1" applyFill="1" applyBorder="1" applyAlignment="1">
      <alignment vertical="center"/>
    </xf>
    <xf numFmtId="0" fontId="30" fillId="0" borderId="0" xfId="0" applyFont="1" applyBorder="1" applyAlignment="1">
      <alignment horizontal="center" vertical="center"/>
    </xf>
    <xf numFmtId="14" fontId="30" fillId="0" borderId="0" xfId="0" applyNumberFormat="1" applyFont="1" applyBorder="1" applyAlignment="1">
      <alignment horizontal="center" vertical="center"/>
    </xf>
    <xf numFmtId="44" fontId="30" fillId="0" borderId="0" xfId="10" applyFont="1" applyBorder="1" applyAlignment="1">
      <alignment horizontal="center" vertical="center"/>
    </xf>
    <xf numFmtId="44" fontId="30" fillId="0" borderId="0" xfId="10" applyFont="1" applyFill="1" applyBorder="1" applyAlignment="1">
      <alignment horizontal="center" vertical="center"/>
    </xf>
    <xf numFmtId="0" fontId="68" fillId="0" borderId="0" xfId="0" applyFont="1"/>
    <xf numFmtId="0" fontId="29" fillId="46" borderId="1" xfId="0" applyFont="1" applyFill="1" applyBorder="1" applyAlignment="1">
      <alignment horizontal="center" vertical="center"/>
    </xf>
    <xf numFmtId="14" fontId="29" fillId="46" borderId="11" xfId="0" applyNumberFormat="1" applyFont="1" applyFill="1" applyBorder="1" applyAlignment="1">
      <alignment horizontal="center" vertical="center"/>
    </xf>
    <xf numFmtId="0" fontId="29" fillId="0" borderId="9" xfId="0" applyFont="1" applyBorder="1" applyAlignment="1">
      <alignment horizontal="center" vertical="center"/>
    </xf>
    <xf numFmtId="0" fontId="0" fillId="0" borderId="0" xfId="0" applyAlignment="1">
      <alignment horizontal="center" vertical="center" wrapText="1"/>
    </xf>
    <xf numFmtId="0" fontId="29" fillId="0" borderId="14" xfId="0" applyFont="1" applyBorder="1" applyAlignment="1">
      <alignment wrapText="1"/>
    </xf>
    <xf numFmtId="14" fontId="29" fillId="46" borderId="14" xfId="0" applyNumberFormat="1" applyFont="1" applyFill="1" applyBorder="1" applyAlignment="1">
      <alignment horizontal="center" vertical="center"/>
    </xf>
    <xf numFmtId="14" fontId="29" fillId="46" borderId="14" xfId="0" applyNumberFormat="1" applyFont="1" applyFill="1" applyBorder="1" applyAlignment="1">
      <alignment horizontal="center" vertical="center" wrapText="1"/>
    </xf>
    <xf numFmtId="0" fontId="29" fillId="46" borderId="14" xfId="0" applyFont="1" applyFill="1" applyBorder="1" applyAlignment="1">
      <alignment horizontal="center" vertical="center" wrapText="1"/>
    </xf>
    <xf numFmtId="0" fontId="34" fillId="0" borderId="14" xfId="0" applyFont="1" applyBorder="1" applyAlignment="1">
      <alignment horizontal="center" vertical="center"/>
    </xf>
    <xf numFmtId="0" fontId="19" fillId="4" borderId="1" xfId="0" applyFont="1" applyFill="1" applyBorder="1" applyAlignment="1">
      <alignment horizontal="center" vertical="center" wrapText="1"/>
    </xf>
    <xf numFmtId="0" fontId="29" fillId="47" borderId="14" xfId="0" applyFont="1" applyFill="1" applyBorder="1" applyAlignment="1">
      <alignment horizontal="center" vertical="center" wrapText="1"/>
    </xf>
    <xf numFmtId="0" fontId="19" fillId="4" borderId="1" xfId="0" applyFont="1" applyFill="1" applyBorder="1" applyAlignment="1">
      <alignment horizontal="center" wrapText="1"/>
    </xf>
  </cellXfs>
  <cellStyles count="75">
    <cellStyle name="20% - Accent1" xfId="38" builtinId="30" customBuiltin="1"/>
    <cellStyle name="20% - Accent2" xfId="42" builtinId="34" customBuiltin="1"/>
    <cellStyle name="20% - Accent3" xfId="46" builtinId="38" customBuiltin="1"/>
    <cellStyle name="20% - Accent4" xfId="50" builtinId="42" customBuiltin="1"/>
    <cellStyle name="20% - Accent5" xfId="54" builtinId="46" customBuiltin="1"/>
    <cellStyle name="20% - Accent6" xfId="58" builtinId="50" customBuiltin="1"/>
    <cellStyle name="40% - Accent1" xfId="39" builtinId="31" customBuiltin="1"/>
    <cellStyle name="40% - Accent2" xfId="43" builtinId="35" customBuiltin="1"/>
    <cellStyle name="40% - Accent3" xfId="47" builtinId="39" customBuiltin="1"/>
    <cellStyle name="40% - Accent4" xfId="51" builtinId="43" customBuiltin="1"/>
    <cellStyle name="40% - Accent5" xfId="55" builtinId="47" customBuiltin="1"/>
    <cellStyle name="40% - Accent6" xfId="59" builtinId="51" customBuiltin="1"/>
    <cellStyle name="60% - Accent1" xfId="40" builtinId="32" customBuiltin="1"/>
    <cellStyle name="60% - Accent2" xfId="44" builtinId="36" customBuiltin="1"/>
    <cellStyle name="60% - Accent3" xfId="48" builtinId="40" customBuiltin="1"/>
    <cellStyle name="60% - Accent4" xfId="52" builtinId="44" customBuiltin="1"/>
    <cellStyle name="60% - Accent5" xfId="56" builtinId="48" customBuiltin="1"/>
    <cellStyle name="60% - Accent6" xfId="60" builtinId="52" customBuiltin="1"/>
    <cellStyle name="Accent1" xfId="37" builtinId="29" customBuiltin="1"/>
    <cellStyle name="Accent2" xfId="41" builtinId="33" customBuiltin="1"/>
    <cellStyle name="Accent3" xfId="45" builtinId="37" customBuiltin="1"/>
    <cellStyle name="Accent4" xfId="49" builtinId="41" customBuiltin="1"/>
    <cellStyle name="Accent5" xfId="53" builtinId="45" customBuiltin="1"/>
    <cellStyle name="Accent6" xfId="57" builtinId="49" customBuiltin="1"/>
    <cellStyle name="Bad" xfId="27" builtinId="27" customBuiltin="1"/>
    <cellStyle name="Calculation" xfId="31" builtinId="22" customBuiltin="1"/>
    <cellStyle name="Check Cell" xfId="33" builtinId="23" customBuiltin="1"/>
    <cellStyle name="Comma 2" xfId="17" xr:uid="{898F87FF-5B6B-4BDA-B4E0-B706E9AAD928}"/>
    <cellStyle name="Comma 2 2" xfId="20" xr:uid="{ECD89EE9-3C4A-4806-A69A-D27B9FCAF908}"/>
    <cellStyle name="Comma 3" xfId="12" xr:uid="{EE1A2352-7416-48B0-A154-12DE738D288B}"/>
    <cellStyle name="Currency" xfId="10" builtinId="4"/>
    <cellStyle name="Currency 2" xfId="4" xr:uid="{7C66190D-1828-4A66-A089-E742BDF6CACC}"/>
    <cellStyle name="Currency 2 2 2" xfId="65" xr:uid="{7486229C-5959-4DFB-88ED-6E04C778F38D}"/>
    <cellStyle name="Currency 3" xfId="8" xr:uid="{779FF71B-DFDD-4936-B2FE-3024DCF32D7B}"/>
    <cellStyle name="Currency 3 2" xfId="69" xr:uid="{EA21A7C5-C7A2-4CAF-96FB-1979F81D6058}"/>
    <cellStyle name="Currency 4" xfId="13" xr:uid="{560EA928-C9F9-414D-A32D-03EBA902CF64}"/>
    <cellStyle name="Currency 5" xfId="62" xr:uid="{7DE9FF7A-5C9B-4528-8B29-533246CEC9BD}"/>
    <cellStyle name="Explanatory Text" xfId="35" builtinId="53" customBuiltin="1"/>
    <cellStyle name="Good" xfId="26" builtinId="26" customBuiltin="1"/>
    <cellStyle name="Heading 1" xfId="22" builtinId="16" customBuiltin="1"/>
    <cellStyle name="Heading 2" xfId="23" builtinId="17" customBuiltin="1"/>
    <cellStyle name="Heading 3" xfId="24" builtinId="18" customBuiltin="1"/>
    <cellStyle name="Heading 4" xfId="25" builtinId="19" customBuiltin="1"/>
    <cellStyle name="Hyperlink" xfId="9" builtinId="8"/>
    <cellStyle name="Hyperlink 2" xfId="2" xr:uid="{A897353D-6368-4198-9154-E75360786408}"/>
    <cellStyle name="Hyperlink 3" xfId="64" xr:uid="{B0C227F7-1E0E-4C72-B515-50A31CA6C04F}"/>
    <cellStyle name="Input" xfId="29" builtinId="20" customBuiltin="1"/>
    <cellStyle name="Linked Cell" xfId="32" builtinId="24" customBuiltin="1"/>
    <cellStyle name="Neutral" xfId="28" builtinId="28" customBuiltin="1"/>
    <cellStyle name="Normal" xfId="0" builtinId="0"/>
    <cellStyle name="Normal 2" xfId="1" xr:uid="{04A0CF2A-87A7-40FB-BED7-46AB484B4017}"/>
    <cellStyle name="Normal 2 2" xfId="6" xr:uid="{692F2D86-9825-4130-9E14-FA59820071AF}"/>
    <cellStyle name="Normal 2 2 2" xfId="19" xr:uid="{6AE81DB0-3F6E-4F44-9EE8-84953A888626}"/>
    <cellStyle name="Normal 2 2 3" xfId="16" xr:uid="{D6CC41A1-1861-4175-B4D7-8B05EFE9AE3A}"/>
    <cellStyle name="Normal 2 2 4" xfId="67" xr:uid="{B0849F0B-1452-4DFE-843B-2DE91FB85DF4}"/>
    <cellStyle name="Normal 2 3" xfId="14" xr:uid="{7346FD64-2D92-4577-9A80-40373260D03B}"/>
    <cellStyle name="Normal 2 4" xfId="63" xr:uid="{03F5B01F-91DC-4F15-B856-67D75BDC72C1}"/>
    <cellStyle name="Normal 2 5" xfId="71" xr:uid="{DCF4F075-21BC-49BF-8F5A-15E1F14940DD}"/>
    <cellStyle name="Normal 3" xfId="15" xr:uid="{82FD3A46-0078-4E49-B81E-F57FC00BF513}"/>
    <cellStyle name="Normal 3 2" xfId="18" xr:uid="{C05B2AD2-A21A-46CC-8BA2-60A36A3D1110}"/>
    <cellStyle name="Normal 3 3" xfId="74" xr:uid="{7B2FE90D-571C-4540-BE7D-A9E847A03833}"/>
    <cellStyle name="Normal 4" xfId="11" xr:uid="{C25D0209-4CC9-4B6E-ABF5-244479095FCF}"/>
    <cellStyle name="Normal 4 2" xfId="72" xr:uid="{5AC5CD75-0A3B-4CE4-8CAE-078F257D6C6E}"/>
    <cellStyle name="Normal 5" xfId="61" xr:uid="{4D08E0FB-30B1-493C-9B86-035ACBA127E2}"/>
    <cellStyle name="Normal 7 2" xfId="66" xr:uid="{3351AD29-EB35-44F2-BE4C-24878DF611AC}"/>
    <cellStyle name="Normal 8" xfId="3" xr:uid="{13F86078-DFCA-474B-8579-7499D29D0CC6}"/>
    <cellStyle name="Normal 9" xfId="5" xr:uid="{B70B2918-5926-4AD2-8AF5-AF3646B7E573}"/>
    <cellStyle name="Normal 9 2" xfId="68" xr:uid="{46038A78-D3DE-4570-A7E2-EF4C0E77B2F3}"/>
    <cellStyle name="Note 2" xfId="73" xr:uid="{01F089DB-A12F-40BE-A236-E95830C2AE17}"/>
    <cellStyle name="Output" xfId="30" builtinId="21" customBuiltin="1"/>
    <cellStyle name="Percent 2" xfId="7" xr:uid="{5920B6F9-4C80-4B77-9CEB-26D640B3C526}"/>
    <cellStyle name="Percent 3" xfId="70" xr:uid="{87B4FBB2-1EBA-4B8B-80A1-EBDB81962524}"/>
    <cellStyle name="Title" xfId="21" builtinId="15" customBuiltin="1"/>
    <cellStyle name="Total" xfId="36" builtinId="25" customBuiltin="1"/>
    <cellStyle name="Warning Text" xfId="3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paradc02\Desktop\Rebates\Medline\Copy%20of%20Q4%202023%20MT%20SINAI%20Rebate%20Summary.xlsx" TargetMode="External"/><Relationship Id="rId1" Type="http://schemas.openxmlformats.org/officeDocument/2006/relationships/externalLinkPath" Target="file:///C:\Users\paradc02\Desktop\Rebates\Medline\Copy%20of%20Q4%202023%20MT%20SINAI%20Rebate%20Summary.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paradc02\Desktop\Rebates\Medline\Copy%20of%20Rebate%20Summary%20Q1%202024%20with%20backup.xlsx" TargetMode="External"/><Relationship Id="rId1" Type="http://schemas.openxmlformats.org/officeDocument/2006/relationships/externalLinkPath" Target="file:///C:\Users\paradc02\Desktop\Rebates\Medline\Copy%20of%20Rebate%20Summary%20Q1%202024%20with%20backup.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paradc02\Desktop\Rebates\Medline\Rebate%20Summary%20Q2%202024%20with%20backup.xlsx" TargetMode="External"/><Relationship Id="rId1" Type="http://schemas.openxmlformats.org/officeDocument/2006/relationships/externalLinkPath" Target="file:///C:\Users\paradc02\Desktop\Rebates\Medline\Rebate%20Summary%20Q2%202024%20with%20backu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bate Summary"/>
      <sheetName val="Sheet1"/>
      <sheetName val="Customer Summary"/>
      <sheetName val="Sheet2"/>
      <sheetName val="Vacutainer"/>
      <sheetName val="Underpad"/>
      <sheetName val="Exam Gloves"/>
      <sheetName val="All Sales"/>
      <sheetName val="Q4 2022 Sales"/>
    </sheetNames>
    <sheetDataSet>
      <sheetData sheetId="0"/>
      <sheetData sheetId="1">
        <row r="2">
          <cell r="B2">
            <v>153617.77378200003</v>
          </cell>
        </row>
        <row r="4">
          <cell r="B4">
            <v>83127.59139999999</v>
          </cell>
        </row>
        <row r="6">
          <cell r="B6">
            <v>14873.030000000002</v>
          </cell>
        </row>
        <row r="7">
          <cell r="B7">
            <v>37748.050158000005</v>
          </cell>
        </row>
        <row r="8">
          <cell r="B8">
            <v>111715.75199999979</v>
          </cell>
        </row>
      </sheetData>
      <sheetData sheetId="2"/>
      <sheetData sheetId="3"/>
      <sheetData sheetId="4"/>
      <sheetData sheetId="5"/>
      <sheetData sheetId="6"/>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bate Summary"/>
      <sheetName val="Sheet1"/>
      <sheetName val="Customer Summary"/>
      <sheetName val="Sheet2"/>
      <sheetName val="Exam Gloves_1"/>
      <sheetName val="Exam Gloves"/>
      <sheetName val="Vacutainer"/>
      <sheetName val="Underpad"/>
      <sheetName val="All Sales"/>
      <sheetName val="Rebate Terms"/>
      <sheetName val="Q4 2022 Sales"/>
    </sheetNames>
    <sheetDataSet>
      <sheetData sheetId="0"/>
      <sheetData sheetId="1">
        <row r="2">
          <cell r="B2">
            <v>150282.40774799985</v>
          </cell>
        </row>
        <row r="3">
          <cell r="B3">
            <v>414683.0489999993</v>
          </cell>
        </row>
        <row r="4">
          <cell r="B4">
            <v>77042.361799999999</v>
          </cell>
        </row>
        <row r="5">
          <cell r="B5">
            <v>46132.586999999206</v>
          </cell>
        </row>
        <row r="6">
          <cell r="B6">
            <v>14411.240000000003</v>
          </cell>
        </row>
        <row r="7">
          <cell r="B7">
            <v>31537.610142000001</v>
          </cell>
        </row>
      </sheetData>
      <sheetData sheetId="2"/>
      <sheetData sheetId="3"/>
      <sheetData sheetId="4"/>
      <sheetData sheetId="5"/>
      <sheetData sheetId="6"/>
      <sheetData sheetId="7"/>
      <sheetData sheetId="8"/>
      <sheetData sheetId="9"/>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bate Summary"/>
      <sheetName val="Sheet1"/>
      <sheetName val="Customer Summary"/>
      <sheetName val=".33% All Sales Rebate Facility"/>
      <sheetName val="5% Non-SPT Medline Rebate Facil"/>
      <sheetName val="2% SPT Medline Rebate Facility"/>
      <sheetName val="5% Growth Rebate Facility"/>
      <sheetName val="5% Exam Glove Rebate Facility"/>
      <sheetName val="Open Interest Details"/>
      <sheetName val="Exam Gloves_1"/>
      <sheetName val="Gloves"/>
      <sheetName val="Underpad"/>
      <sheetName val="Vacutainer"/>
      <sheetName val="All Sales"/>
      <sheetName val="Q4 2022 Sales"/>
    </sheetNames>
    <sheetDataSet>
      <sheetData sheetId="0"/>
      <sheetData sheetId="1">
        <row r="3">
          <cell r="C3">
            <v>77636.639999999999</v>
          </cell>
        </row>
        <row r="4">
          <cell r="C4">
            <v>425997.41</v>
          </cell>
        </row>
        <row r="5">
          <cell r="C5">
            <v>78363.63</v>
          </cell>
        </row>
        <row r="6">
          <cell r="C6">
            <v>47327.14</v>
          </cell>
        </row>
        <row r="7">
          <cell r="C7">
            <v>8620.06</v>
          </cell>
        </row>
        <row r="8">
          <cell r="C8">
            <v>6119.91</v>
          </cell>
        </row>
        <row r="9">
          <cell r="C9">
            <v>34554.980000000003</v>
          </cell>
        </row>
        <row r="10">
          <cell r="C10">
            <v>55871.48</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contracts.tractmanager.com/contracts/contractsummary.aspx?id=27581" TargetMode="External"/><Relationship Id="rId13" Type="http://schemas.openxmlformats.org/officeDocument/2006/relationships/hyperlink" Target="https://contracts.tractmanager.com/contracts/contractsummary.aspx?id=31156" TargetMode="External"/><Relationship Id="rId3" Type="http://schemas.openxmlformats.org/officeDocument/2006/relationships/hyperlink" Target="https://contracts.tractmanager.com/contracts/contractsummary.aspx?id=4129" TargetMode="External"/><Relationship Id="rId7" Type="http://schemas.openxmlformats.org/officeDocument/2006/relationships/hyperlink" Target="https://contracts.tractmanager.com/contracts/contractsummary.aspx?id=7651" TargetMode="External"/><Relationship Id="rId12" Type="http://schemas.openxmlformats.org/officeDocument/2006/relationships/hyperlink" Target="https://contracts.tractmanager.com/contracts/contractsummary.aspx?id=25253" TargetMode="External"/><Relationship Id="rId2" Type="http://schemas.openxmlformats.org/officeDocument/2006/relationships/hyperlink" Target="https://contracts.tractmanager.com/contracts/contractsummary.aspx?id=4129" TargetMode="External"/><Relationship Id="rId1" Type="http://schemas.openxmlformats.org/officeDocument/2006/relationships/hyperlink" Target="https://contracts.tractmanager.com/contracts/contractsummary.aspx?id=4507" TargetMode="External"/><Relationship Id="rId6" Type="http://schemas.openxmlformats.org/officeDocument/2006/relationships/hyperlink" Target="https://contracts.tractmanager.com/contracts/contractsummary.aspx?id=4340" TargetMode="External"/><Relationship Id="rId11" Type="http://schemas.openxmlformats.org/officeDocument/2006/relationships/hyperlink" Target="https://contracts.tractmanager.com/contracts/contractsummary.aspx?id=5862" TargetMode="External"/><Relationship Id="rId5" Type="http://schemas.openxmlformats.org/officeDocument/2006/relationships/hyperlink" Target="https://contracts.tractmanager.com/contracts/contractsummary.aspx?id=5862" TargetMode="External"/><Relationship Id="rId10" Type="http://schemas.openxmlformats.org/officeDocument/2006/relationships/hyperlink" Target="https://contracts.tractmanager.com/contracts/contractsummary.aspx?id=3435" TargetMode="External"/><Relationship Id="rId4" Type="http://schemas.openxmlformats.org/officeDocument/2006/relationships/hyperlink" Target="https://contracts.tractmanager.com/contracts/contractsummary.aspx?id=31156" TargetMode="External"/><Relationship Id="rId9" Type="http://schemas.openxmlformats.org/officeDocument/2006/relationships/hyperlink" Target="https://contracts.tractmanager.com/contracts/contractsummary.aspx?id=3435" TargetMode="External"/><Relationship Id="rId14" Type="http://schemas.openxmlformats.org/officeDocument/2006/relationships/hyperlink" Target="https://contracts.tractmanager.com/contracts/contractsummary.aspx?id=4507"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contracts.tractmanager.com/contracts/contractsummary.aspx?id=3522" TargetMode="External"/><Relationship Id="rId117" Type="http://schemas.openxmlformats.org/officeDocument/2006/relationships/hyperlink" Target="https://contracts.tractmanager.com/contracts/contractsummary.aspx?id=8154" TargetMode="External"/><Relationship Id="rId21" Type="http://schemas.openxmlformats.org/officeDocument/2006/relationships/hyperlink" Target="https://contracts.tractmanager.com/contracts/contractsummary.aspx?id=25253" TargetMode="External"/><Relationship Id="rId42" Type="http://schemas.openxmlformats.org/officeDocument/2006/relationships/hyperlink" Target="https://contracts.tractmanager.com/contracts/contractsummary.aspx?id=8623" TargetMode="External"/><Relationship Id="rId47" Type="http://schemas.openxmlformats.org/officeDocument/2006/relationships/hyperlink" Target="https://contracts.tractmanager.com/contracts/contractsummary.aspx?id=8474" TargetMode="External"/><Relationship Id="rId63" Type="http://schemas.openxmlformats.org/officeDocument/2006/relationships/hyperlink" Target="https://contracts.tractmanager.com/contracts/contractsummary.aspx?id=8583" TargetMode="External"/><Relationship Id="rId68" Type="http://schemas.openxmlformats.org/officeDocument/2006/relationships/hyperlink" Target="https://contracts.tractmanager.com/contracts/contractsummary.aspx?id=25253" TargetMode="External"/><Relationship Id="rId84" Type="http://schemas.openxmlformats.org/officeDocument/2006/relationships/hyperlink" Target="https://contracts.tractmanager.com/contracts/contractsummary.aspx?id=16069" TargetMode="External"/><Relationship Id="rId89" Type="http://schemas.openxmlformats.org/officeDocument/2006/relationships/hyperlink" Target="https://contracts.tractmanager.com/contracts/contractsummary.aspx?id=7651" TargetMode="External"/><Relationship Id="rId112" Type="http://schemas.openxmlformats.org/officeDocument/2006/relationships/hyperlink" Target="https://contracts.tractmanager.com/contracts/contractsummary.aspx?id=5862" TargetMode="External"/><Relationship Id="rId16" Type="http://schemas.openxmlformats.org/officeDocument/2006/relationships/hyperlink" Target="https://contracts.tractmanager.com/contracts/contractsummary.aspx?id=27661" TargetMode="External"/><Relationship Id="rId107" Type="http://schemas.openxmlformats.org/officeDocument/2006/relationships/hyperlink" Target="https://contracts.tractmanager.com/contracts/contractsummary.aspx?id=2947" TargetMode="External"/><Relationship Id="rId11" Type="http://schemas.openxmlformats.org/officeDocument/2006/relationships/hyperlink" Target="https://contracts.tractmanager.com/contracts/contractsummary.aspx?id=31867" TargetMode="External"/><Relationship Id="rId32" Type="http://schemas.openxmlformats.org/officeDocument/2006/relationships/hyperlink" Target="https://contracts.tractmanager.com/contracts/contractsummary.aspx?id=30400" TargetMode="External"/><Relationship Id="rId37" Type="http://schemas.openxmlformats.org/officeDocument/2006/relationships/hyperlink" Target="https://contracts.tractmanager.com/contracts/contractsummary.aspx?id=30400" TargetMode="External"/><Relationship Id="rId53" Type="http://schemas.openxmlformats.org/officeDocument/2006/relationships/hyperlink" Target="https://contracts.tractmanager.com/contracts/contractsummary.aspx?id=4340" TargetMode="External"/><Relationship Id="rId58" Type="http://schemas.openxmlformats.org/officeDocument/2006/relationships/hyperlink" Target="https://contracts.tractmanager.com/contracts/contractsummary.aspx?id=30387" TargetMode="External"/><Relationship Id="rId74" Type="http://schemas.openxmlformats.org/officeDocument/2006/relationships/hyperlink" Target="https://contracts.tractmanager.com/contracts/contractsummary.aspx?id=12590" TargetMode="External"/><Relationship Id="rId79" Type="http://schemas.openxmlformats.org/officeDocument/2006/relationships/hyperlink" Target="https://contracts.tractmanager.com/contracts/contractsummary.aspx?id=3522" TargetMode="External"/><Relationship Id="rId102" Type="http://schemas.openxmlformats.org/officeDocument/2006/relationships/hyperlink" Target="https://contracts.tractmanager.com/contracts/contractsummary.aspx?id=13729" TargetMode="External"/><Relationship Id="rId123" Type="http://schemas.openxmlformats.org/officeDocument/2006/relationships/hyperlink" Target="https://contracts.tractmanager.com/contracts/contractsummary.aspx?id=12941" TargetMode="External"/><Relationship Id="rId5" Type="http://schemas.openxmlformats.org/officeDocument/2006/relationships/hyperlink" Target="https://contracts.tractmanager.com/contracts/contractsummary.aspx?id=4340" TargetMode="External"/><Relationship Id="rId90" Type="http://schemas.openxmlformats.org/officeDocument/2006/relationships/hyperlink" Target="https://contracts.tractmanager.com/contracts/contractsummary.aspx?id=27661" TargetMode="External"/><Relationship Id="rId95" Type="http://schemas.openxmlformats.org/officeDocument/2006/relationships/hyperlink" Target="https://contracts.tractmanager.com/contracts/contractsummary.aspx?id=4509" TargetMode="External"/><Relationship Id="rId19" Type="http://schemas.openxmlformats.org/officeDocument/2006/relationships/hyperlink" Target="https://contracts.tractmanager.com/contracts/contractsummary.aspx?id=30585" TargetMode="External"/><Relationship Id="rId14" Type="http://schemas.openxmlformats.org/officeDocument/2006/relationships/hyperlink" Target="https://contracts.tractmanager.com/contracts/contractsummary.aspx?id=5736" TargetMode="External"/><Relationship Id="rId22" Type="http://schemas.openxmlformats.org/officeDocument/2006/relationships/hyperlink" Target="https://contracts.tractmanager.com/contracts/contractsummary.aspx?id=25253" TargetMode="External"/><Relationship Id="rId27" Type="http://schemas.openxmlformats.org/officeDocument/2006/relationships/hyperlink" Target="https://contracts.tractmanager.com/contracts/contractsummary.aspx?id=3435" TargetMode="External"/><Relationship Id="rId30" Type="http://schemas.openxmlformats.org/officeDocument/2006/relationships/hyperlink" Target="https://contracts.tractmanager.com/contracts/contractsummary.aspx?id=30400" TargetMode="External"/><Relationship Id="rId35" Type="http://schemas.openxmlformats.org/officeDocument/2006/relationships/hyperlink" Target="https://contracts.tractmanager.com/contracts/contractsummary.aspx?id=30400" TargetMode="External"/><Relationship Id="rId43" Type="http://schemas.openxmlformats.org/officeDocument/2006/relationships/hyperlink" Target="https://contracts.tractmanager.com/contracts/contractsummary.aspx?id=13446" TargetMode="External"/><Relationship Id="rId48" Type="http://schemas.openxmlformats.org/officeDocument/2006/relationships/hyperlink" Target="https://contracts.tractmanager.com/contracts/contractsummary.aspx?id=8474" TargetMode="External"/><Relationship Id="rId56" Type="http://schemas.openxmlformats.org/officeDocument/2006/relationships/hyperlink" Target="https://contracts.tractmanager.com/contracts/contractsummary.aspx?id=13446" TargetMode="External"/><Relationship Id="rId64" Type="http://schemas.openxmlformats.org/officeDocument/2006/relationships/hyperlink" Target="https://contracts.tractmanager.com/contracts/contractsummary.aspx?id=5862" TargetMode="External"/><Relationship Id="rId69" Type="http://schemas.openxmlformats.org/officeDocument/2006/relationships/hyperlink" Target="https://contracts.tractmanager.com/contracts/contractsummary.aspx?id=3570" TargetMode="External"/><Relationship Id="rId77" Type="http://schemas.openxmlformats.org/officeDocument/2006/relationships/hyperlink" Target="https://contracts.tractmanager.com/contracts/contractsummary.aspx?id=4128" TargetMode="External"/><Relationship Id="rId100" Type="http://schemas.openxmlformats.org/officeDocument/2006/relationships/hyperlink" Target="https://contracts.tractmanager.com/contracts/contractsummary.aspx?id=4129" TargetMode="External"/><Relationship Id="rId105" Type="http://schemas.openxmlformats.org/officeDocument/2006/relationships/hyperlink" Target="https://contracts.tractmanager.com/contracts/contractsummary.aspx?id=4507" TargetMode="External"/><Relationship Id="rId113" Type="http://schemas.openxmlformats.org/officeDocument/2006/relationships/hyperlink" Target="https://contracts.tractmanager.com/contracts/contractsummary.aspx?id=3522" TargetMode="External"/><Relationship Id="rId118" Type="http://schemas.openxmlformats.org/officeDocument/2006/relationships/hyperlink" Target="https://contracts.tractmanager.com/contracts/contractsummary.aspx?id=8154" TargetMode="External"/><Relationship Id="rId126" Type="http://schemas.openxmlformats.org/officeDocument/2006/relationships/hyperlink" Target="https://contracts.tractmanager.com/contracts/contractsummary.aspx?id=4340" TargetMode="External"/><Relationship Id="rId8" Type="http://schemas.openxmlformats.org/officeDocument/2006/relationships/hyperlink" Target="https://contracts.tractmanager.com/contracts/contractsummary.aspx?id=4507" TargetMode="External"/><Relationship Id="rId51" Type="http://schemas.openxmlformats.org/officeDocument/2006/relationships/hyperlink" Target="https://contracts.tractmanager.com/contracts/contractsummary.aspx?id=3435" TargetMode="External"/><Relationship Id="rId72" Type="http://schemas.openxmlformats.org/officeDocument/2006/relationships/hyperlink" Target="https://contracts.tractmanager.com/contracts/contractsummary.aspx?id=8154" TargetMode="External"/><Relationship Id="rId80" Type="http://schemas.openxmlformats.org/officeDocument/2006/relationships/hyperlink" Target="https://contracts.tractmanager.com/contracts/contractsummary.aspx?id=30646" TargetMode="External"/><Relationship Id="rId85" Type="http://schemas.openxmlformats.org/officeDocument/2006/relationships/hyperlink" Target="https://contracts.tractmanager.com/contracts/contractsummary.aspx?id=8474" TargetMode="External"/><Relationship Id="rId93" Type="http://schemas.openxmlformats.org/officeDocument/2006/relationships/hyperlink" Target="https://contracts.tractmanager.com/contracts/contractsummary.aspx?id=8469" TargetMode="External"/><Relationship Id="rId98" Type="http://schemas.openxmlformats.org/officeDocument/2006/relationships/hyperlink" Target="https://contracts.tractmanager.com/contracts/contractsummary.aspx?id=4128" TargetMode="External"/><Relationship Id="rId121" Type="http://schemas.openxmlformats.org/officeDocument/2006/relationships/hyperlink" Target="https://contracts.tractmanager.com/contracts/contractsummary.aspx?id=4128" TargetMode="External"/><Relationship Id="rId3" Type="http://schemas.openxmlformats.org/officeDocument/2006/relationships/hyperlink" Target="https://contracts.tractmanager.com/contracts/contractsummary.aspx?id=8497" TargetMode="External"/><Relationship Id="rId12" Type="http://schemas.openxmlformats.org/officeDocument/2006/relationships/hyperlink" Target="https://contracts.tractmanager.com/contracts/contractsummary.aspx?id=13729" TargetMode="External"/><Relationship Id="rId17" Type="http://schemas.openxmlformats.org/officeDocument/2006/relationships/hyperlink" Target="https://contracts.tractmanager.com/contracts/contractsummary.aspx?id=30583" TargetMode="External"/><Relationship Id="rId25" Type="http://schemas.openxmlformats.org/officeDocument/2006/relationships/hyperlink" Target="https://contracts.tractmanager.com/contracts/contractsummary.aspx?id=13778" TargetMode="External"/><Relationship Id="rId33" Type="http://schemas.openxmlformats.org/officeDocument/2006/relationships/hyperlink" Target="https://contracts.tractmanager.com/contracts/contractsummary.aspx?id=4129" TargetMode="External"/><Relationship Id="rId38" Type="http://schemas.openxmlformats.org/officeDocument/2006/relationships/hyperlink" Target="https://contracts.tractmanager.com/contracts/contractsummary.aspx?id=6437" TargetMode="External"/><Relationship Id="rId46" Type="http://schemas.openxmlformats.org/officeDocument/2006/relationships/hyperlink" Target="https://contracts.tractmanager.com/contracts/contractsummary.aspx?id=31156" TargetMode="External"/><Relationship Id="rId59" Type="http://schemas.openxmlformats.org/officeDocument/2006/relationships/hyperlink" Target="https://contracts.tractmanager.com/contracts/contractsummary.aspx?id=4507" TargetMode="External"/><Relationship Id="rId67" Type="http://schemas.openxmlformats.org/officeDocument/2006/relationships/hyperlink" Target="https://contracts.tractmanager.com/contracts/contractsummary.aspx?id=4507" TargetMode="External"/><Relationship Id="rId103" Type="http://schemas.openxmlformats.org/officeDocument/2006/relationships/hyperlink" Target="https://contracts.tractmanager.com/contracts/contractsummary.aspx?id=3570" TargetMode="External"/><Relationship Id="rId108" Type="http://schemas.openxmlformats.org/officeDocument/2006/relationships/hyperlink" Target="https://contracts.tractmanager.com/contracts/contractsummary.aspx?id=30387" TargetMode="External"/><Relationship Id="rId116" Type="http://schemas.openxmlformats.org/officeDocument/2006/relationships/hyperlink" Target="https://contracts.tractmanager.com/contracts/contractsummary.aspx?id=4507" TargetMode="External"/><Relationship Id="rId124" Type="http://schemas.openxmlformats.org/officeDocument/2006/relationships/hyperlink" Target="https://contracts.tractmanager.com/contracts/contractsummary.aspx?id=4509" TargetMode="External"/><Relationship Id="rId20" Type="http://schemas.openxmlformats.org/officeDocument/2006/relationships/hyperlink" Target="https://contracts.tractmanager.com/contracts/contractsummary.aspx?id=25253" TargetMode="External"/><Relationship Id="rId41" Type="http://schemas.openxmlformats.org/officeDocument/2006/relationships/hyperlink" Target="https://contracts.tractmanager.com/contracts/contractsummary.aspx?id=4509" TargetMode="External"/><Relationship Id="rId54" Type="http://schemas.openxmlformats.org/officeDocument/2006/relationships/hyperlink" Target="https://contracts.tractmanager.com/contracts/contractsummary.aspx?id=15769" TargetMode="External"/><Relationship Id="rId62" Type="http://schemas.openxmlformats.org/officeDocument/2006/relationships/hyperlink" Target="https://contracts.tractmanager.com/contracts/contractsummary.aspx?id=12941" TargetMode="External"/><Relationship Id="rId70" Type="http://schemas.openxmlformats.org/officeDocument/2006/relationships/hyperlink" Target="https://contracts.tractmanager.com/contracts/contractsummary.aspx?id=31156" TargetMode="External"/><Relationship Id="rId75" Type="http://schemas.openxmlformats.org/officeDocument/2006/relationships/hyperlink" Target="https://contracts.tractmanager.com/contracts/contractsummary.aspx?id=5862" TargetMode="External"/><Relationship Id="rId83" Type="http://schemas.openxmlformats.org/officeDocument/2006/relationships/hyperlink" Target="https://contracts.tractmanager.com/contracts/contractsummary.aspx?id=27581" TargetMode="External"/><Relationship Id="rId88" Type="http://schemas.openxmlformats.org/officeDocument/2006/relationships/hyperlink" Target="https://contracts.tractmanager.com/contracts/contractsummary.aspx?id=25253" TargetMode="External"/><Relationship Id="rId91" Type="http://schemas.openxmlformats.org/officeDocument/2006/relationships/hyperlink" Target="https://contracts.tractmanager.com/contracts/contractsummary.aspx?id=31156" TargetMode="External"/><Relationship Id="rId96" Type="http://schemas.openxmlformats.org/officeDocument/2006/relationships/hyperlink" Target="https://contracts.tractmanager.com/contracts/contractsummary.aspx?id=8154" TargetMode="External"/><Relationship Id="rId111" Type="http://schemas.openxmlformats.org/officeDocument/2006/relationships/hyperlink" Target="https://contracts.tractmanager.com/contracts/contractsummary.aspx?id=30400" TargetMode="External"/><Relationship Id="rId1" Type="http://schemas.openxmlformats.org/officeDocument/2006/relationships/hyperlink" Target="https://contracts.tractmanager.com/contracts/contractsummary.aspx?id=4128" TargetMode="External"/><Relationship Id="rId6" Type="http://schemas.openxmlformats.org/officeDocument/2006/relationships/hyperlink" Target="https://contracts.tractmanager.com/contracts/contractsummary.aspx?id=5862" TargetMode="External"/><Relationship Id="rId15" Type="http://schemas.openxmlformats.org/officeDocument/2006/relationships/hyperlink" Target="https://contracts.tractmanager.com/contracts/contractsummary.aspx?id=3522" TargetMode="External"/><Relationship Id="rId23" Type="http://schemas.openxmlformats.org/officeDocument/2006/relationships/hyperlink" Target="https://contracts.tractmanager.com/contracts/contractsummary.aspx?id=25253" TargetMode="External"/><Relationship Id="rId28" Type="http://schemas.openxmlformats.org/officeDocument/2006/relationships/hyperlink" Target="https://contracts.tractmanager.com/contracts/contractsummary.aspx?id=3124" TargetMode="External"/><Relationship Id="rId36" Type="http://schemas.openxmlformats.org/officeDocument/2006/relationships/hyperlink" Target="https://contracts.tractmanager.com/contracts/contractsummary.aspx?id=30400" TargetMode="External"/><Relationship Id="rId49" Type="http://schemas.openxmlformats.org/officeDocument/2006/relationships/hyperlink" Target="https://contracts.tractmanager.com/contracts/contractsummary.aspx?id=4340" TargetMode="External"/><Relationship Id="rId57" Type="http://schemas.openxmlformats.org/officeDocument/2006/relationships/hyperlink" Target="https://contracts.tractmanager.com/contracts/contractsummary.aspx?id=7651" TargetMode="External"/><Relationship Id="rId106" Type="http://schemas.openxmlformats.org/officeDocument/2006/relationships/hyperlink" Target="https://contracts.tractmanager.com/contracts/contractsummary.aspx?id=7486" TargetMode="External"/><Relationship Id="rId114" Type="http://schemas.openxmlformats.org/officeDocument/2006/relationships/hyperlink" Target="https://contracts.tractmanager.com/contracts/contractsummary.aspx?id=25253" TargetMode="External"/><Relationship Id="rId119" Type="http://schemas.openxmlformats.org/officeDocument/2006/relationships/hyperlink" Target="https://contracts.tractmanager.com/contracts/contractsummary.aspx?id=3435" TargetMode="External"/><Relationship Id="rId127" Type="http://schemas.openxmlformats.org/officeDocument/2006/relationships/printerSettings" Target="../printerSettings/printerSettings1.bin"/><Relationship Id="rId10" Type="http://schemas.openxmlformats.org/officeDocument/2006/relationships/hyperlink" Target="https://contracts.tractmanager.com/contracts/contractsummary.aspx?id=8154" TargetMode="External"/><Relationship Id="rId31" Type="http://schemas.openxmlformats.org/officeDocument/2006/relationships/hyperlink" Target="https://contracts.tractmanager.com/contracts/contractsummary.aspx?id=4129" TargetMode="External"/><Relationship Id="rId44" Type="http://schemas.openxmlformats.org/officeDocument/2006/relationships/hyperlink" Target="https://contracts.tractmanager.com/contracts/contractsummary.aspx?id=31156" TargetMode="External"/><Relationship Id="rId52" Type="http://schemas.openxmlformats.org/officeDocument/2006/relationships/hyperlink" Target="https://contracts.tractmanager.com/contracts/contractsummary.aspx?id=31156" TargetMode="External"/><Relationship Id="rId60" Type="http://schemas.openxmlformats.org/officeDocument/2006/relationships/hyperlink" Target="https://contracts.tractmanager.com/contracts/contractsummary.aspx?id=31156" TargetMode="External"/><Relationship Id="rId65" Type="http://schemas.openxmlformats.org/officeDocument/2006/relationships/hyperlink" Target="https://contracts.tractmanager.com/contracts/contractsummary.aspx?id=4129" TargetMode="External"/><Relationship Id="rId73" Type="http://schemas.openxmlformats.org/officeDocument/2006/relationships/hyperlink" Target="https://contracts.tractmanager.com/contracts/contractsummary.aspx?id=12590" TargetMode="External"/><Relationship Id="rId78" Type="http://schemas.openxmlformats.org/officeDocument/2006/relationships/hyperlink" Target="https://contracts.tractmanager.com/contracts/contractsummary.aspx?id=3435" TargetMode="External"/><Relationship Id="rId81" Type="http://schemas.openxmlformats.org/officeDocument/2006/relationships/hyperlink" Target="https://contracts.tractmanager.com/contracts/contractsummary.aspx?id=3435" TargetMode="External"/><Relationship Id="rId86" Type="http://schemas.openxmlformats.org/officeDocument/2006/relationships/hyperlink" Target="https://contracts.tractmanager.com/contracts/contractsummary.aspx?id=5862" TargetMode="External"/><Relationship Id="rId94" Type="http://schemas.openxmlformats.org/officeDocument/2006/relationships/hyperlink" Target="https://contracts.tractmanager.com/contracts/contractsummary.aspx?id=29192" TargetMode="External"/><Relationship Id="rId99" Type="http://schemas.openxmlformats.org/officeDocument/2006/relationships/hyperlink" Target="https://contracts.tractmanager.com/contracts/contractsummary.aspx?id=2947" TargetMode="External"/><Relationship Id="rId101" Type="http://schemas.openxmlformats.org/officeDocument/2006/relationships/hyperlink" Target="https://contracts.tractmanager.com/contracts/contractsummary.aspx?id=4129" TargetMode="External"/><Relationship Id="rId122" Type="http://schemas.openxmlformats.org/officeDocument/2006/relationships/hyperlink" Target="https://contracts.tractmanager.com/contracts/contractsummary.aspx?id=4128" TargetMode="External"/><Relationship Id="rId4" Type="http://schemas.openxmlformats.org/officeDocument/2006/relationships/hyperlink" Target="https://contracts.tractmanager.com/contracts/contractsummary.aspx?id=5862" TargetMode="External"/><Relationship Id="rId9" Type="http://schemas.openxmlformats.org/officeDocument/2006/relationships/hyperlink" Target="https://contracts.tractmanager.com/contracts/contractsummary.aspx?id=5736" TargetMode="External"/><Relationship Id="rId13" Type="http://schemas.openxmlformats.org/officeDocument/2006/relationships/hyperlink" Target="https://contracts.tractmanager.com/contracts/contractsummary.aspx?id=5736" TargetMode="External"/><Relationship Id="rId18" Type="http://schemas.openxmlformats.org/officeDocument/2006/relationships/hyperlink" Target="https://contracts.tractmanager.com/contracts/contractsummary.aspx?id=30584" TargetMode="External"/><Relationship Id="rId39" Type="http://schemas.openxmlformats.org/officeDocument/2006/relationships/hyperlink" Target="https://contracts.tractmanager.com/contracts/contractsummary.aspx?id=16395" TargetMode="External"/><Relationship Id="rId109" Type="http://schemas.openxmlformats.org/officeDocument/2006/relationships/hyperlink" Target="https://contracts.tractmanager.com/contracts/contractsummary.aspx?id=12590" TargetMode="External"/><Relationship Id="rId34" Type="http://schemas.openxmlformats.org/officeDocument/2006/relationships/hyperlink" Target="https://contracts.tractmanager.com/contracts/contractsummary.aspx?id=4129" TargetMode="External"/><Relationship Id="rId50" Type="http://schemas.openxmlformats.org/officeDocument/2006/relationships/hyperlink" Target="https://contracts.tractmanager.com/contracts/contractsummary.aspx?id=4340" TargetMode="External"/><Relationship Id="rId55" Type="http://schemas.openxmlformats.org/officeDocument/2006/relationships/hyperlink" Target="https://contracts.tractmanager.com/contracts/contractsummary.aspx?id=30400" TargetMode="External"/><Relationship Id="rId76" Type="http://schemas.openxmlformats.org/officeDocument/2006/relationships/hyperlink" Target="https://contracts.tractmanager.com/contracts/contractsummary.aspx?id=27581" TargetMode="External"/><Relationship Id="rId97" Type="http://schemas.openxmlformats.org/officeDocument/2006/relationships/hyperlink" Target="https://contracts.tractmanager.com/contracts/contractsummary.aspx?id=5862" TargetMode="External"/><Relationship Id="rId104" Type="http://schemas.openxmlformats.org/officeDocument/2006/relationships/hyperlink" Target="https://contracts.tractmanager.com/contracts/contractsummary.aspx?id=4340" TargetMode="External"/><Relationship Id="rId120" Type="http://schemas.openxmlformats.org/officeDocument/2006/relationships/hyperlink" Target="https://contracts.tractmanager.com/contracts/contractsummary.aspx?id=5862" TargetMode="External"/><Relationship Id="rId125" Type="http://schemas.openxmlformats.org/officeDocument/2006/relationships/hyperlink" Target="https://contracts.tractmanager.com/contracts/contractsummary.aspx?id=5862" TargetMode="External"/><Relationship Id="rId7" Type="http://schemas.openxmlformats.org/officeDocument/2006/relationships/hyperlink" Target="https://contracts.tractmanager.com/contracts/contractsummary.aspx?id=5862" TargetMode="External"/><Relationship Id="rId71" Type="http://schemas.openxmlformats.org/officeDocument/2006/relationships/hyperlink" Target="https://contracts.tractmanager.com/contracts/contractsummary.aspx?id=31156" TargetMode="External"/><Relationship Id="rId92" Type="http://schemas.openxmlformats.org/officeDocument/2006/relationships/hyperlink" Target="https://contracts.tractmanager.com/contracts/contractsummary.aspx?id=16395" TargetMode="External"/><Relationship Id="rId2" Type="http://schemas.openxmlformats.org/officeDocument/2006/relationships/hyperlink" Target="https://contracts.tractmanager.com/contracts/contractsummary.aspx?id=5862" TargetMode="External"/><Relationship Id="rId29" Type="http://schemas.openxmlformats.org/officeDocument/2006/relationships/hyperlink" Target="https://contracts.tractmanager.com/contracts/contractsummary.aspx?id=3124" TargetMode="External"/><Relationship Id="rId24" Type="http://schemas.openxmlformats.org/officeDocument/2006/relationships/hyperlink" Target="https://contracts.tractmanager.com/contracts/contractsummary.aspx?id=8154" TargetMode="External"/><Relationship Id="rId40" Type="http://schemas.openxmlformats.org/officeDocument/2006/relationships/hyperlink" Target="https://contracts.tractmanager.com/contracts/contractsummary.aspx?id=13446" TargetMode="External"/><Relationship Id="rId45" Type="http://schemas.openxmlformats.org/officeDocument/2006/relationships/hyperlink" Target="https://contracts.tractmanager.com/contracts/contractsummary.aspx?id=4128" TargetMode="External"/><Relationship Id="rId66" Type="http://schemas.openxmlformats.org/officeDocument/2006/relationships/hyperlink" Target="https://contracts.tractmanager.com/contracts/contractsummary.aspx?id=35277" TargetMode="External"/><Relationship Id="rId87" Type="http://schemas.openxmlformats.org/officeDocument/2006/relationships/hyperlink" Target="https://contracts.tractmanager.com/contracts/contractsummary.aspx?id=12941" TargetMode="External"/><Relationship Id="rId110" Type="http://schemas.openxmlformats.org/officeDocument/2006/relationships/hyperlink" Target="https://contracts.tractmanager.com/contracts/contractsummary.aspx?id=4129" TargetMode="External"/><Relationship Id="rId115" Type="http://schemas.openxmlformats.org/officeDocument/2006/relationships/hyperlink" Target="https://contracts.tractmanager.com/contracts/contractsummary.aspx?id=31156" TargetMode="External"/><Relationship Id="rId61" Type="http://schemas.openxmlformats.org/officeDocument/2006/relationships/hyperlink" Target="https://contracts.tractmanager.com/contracts/contractsummary.aspx?id=4128" TargetMode="External"/><Relationship Id="rId82" Type="http://schemas.openxmlformats.org/officeDocument/2006/relationships/hyperlink" Target="https://contracts.tractmanager.com/contracts/contractsummary.aspx?id=27581"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contracts.tractmanager.com/contracts/contractsummary.aspx?id=25253" TargetMode="External"/><Relationship Id="rId117" Type="http://schemas.openxmlformats.org/officeDocument/2006/relationships/hyperlink" Target="https://contracts.tractmanager.com/contracts/contractsummary.aspx?id=13729" TargetMode="External"/><Relationship Id="rId21" Type="http://schemas.openxmlformats.org/officeDocument/2006/relationships/hyperlink" Target="https://contracts.tractmanager.com/contracts/contractsummary.aspx?id=25253" TargetMode="External"/><Relationship Id="rId42" Type="http://schemas.openxmlformats.org/officeDocument/2006/relationships/hyperlink" Target="https://contracts.tractmanager.com/contracts/contractsummary.aspx?id=4340" TargetMode="External"/><Relationship Id="rId47" Type="http://schemas.openxmlformats.org/officeDocument/2006/relationships/hyperlink" Target="https://contracts.tractmanager.com/contracts/contractsummary.aspx?id=4340" TargetMode="External"/><Relationship Id="rId63" Type="http://schemas.openxmlformats.org/officeDocument/2006/relationships/hyperlink" Target="https://contracts.tractmanager.com/contracts/contractsummary.aspx?id=7651" TargetMode="External"/><Relationship Id="rId68" Type="http://schemas.openxmlformats.org/officeDocument/2006/relationships/hyperlink" Target="https://contracts.tractmanager.com/contracts/contractsummary.aspx?id=4509" TargetMode="External"/><Relationship Id="rId84" Type="http://schemas.openxmlformats.org/officeDocument/2006/relationships/hyperlink" Target="https://contracts.tractmanager.com/contracts/contractsummary.aspx?id=7486" TargetMode="External"/><Relationship Id="rId89" Type="http://schemas.openxmlformats.org/officeDocument/2006/relationships/hyperlink" Target="https://contracts.tractmanager.com/contracts/contractsummary.aspx?id=8821" TargetMode="External"/><Relationship Id="rId112" Type="http://schemas.openxmlformats.org/officeDocument/2006/relationships/hyperlink" Target="https://contracts.tractmanager.com/contracts/contractsummary.aspx?id=12317" TargetMode="External"/><Relationship Id="rId133" Type="http://schemas.openxmlformats.org/officeDocument/2006/relationships/hyperlink" Target="https://contracts.tractmanager.com/contracts/contractsummary.aspx?id=27581" TargetMode="External"/><Relationship Id="rId138" Type="http://schemas.openxmlformats.org/officeDocument/2006/relationships/hyperlink" Target="https://contracts.tractmanager.com/contracts/contractsummary.aspx?id=29192" TargetMode="External"/><Relationship Id="rId16" Type="http://schemas.openxmlformats.org/officeDocument/2006/relationships/hyperlink" Target="https://contracts.tractmanager.com/contracts/contractsummary.aspx?id=30584" TargetMode="External"/><Relationship Id="rId107" Type="http://schemas.openxmlformats.org/officeDocument/2006/relationships/hyperlink" Target="https://contracts.tractmanager.com/contracts/contractsummary.aspx?id=30400" TargetMode="External"/><Relationship Id="rId11" Type="http://schemas.openxmlformats.org/officeDocument/2006/relationships/hyperlink" Target="https://contracts.tractmanager.com/contracts/contractsummary.aspx?id=30584" TargetMode="External"/><Relationship Id="rId32" Type="http://schemas.openxmlformats.org/officeDocument/2006/relationships/hyperlink" Target="https://contracts.tractmanager.com/contracts/contractsummary.aspx?id=4340" TargetMode="External"/><Relationship Id="rId37" Type="http://schemas.openxmlformats.org/officeDocument/2006/relationships/hyperlink" Target="https://contracts.tractmanager.com/contracts/contractsummary.aspx?id=4340" TargetMode="External"/><Relationship Id="rId53" Type="http://schemas.openxmlformats.org/officeDocument/2006/relationships/hyperlink" Target="https://contracts.tractmanager.com/contracts/contractsummary.aspx?id=5736" TargetMode="External"/><Relationship Id="rId58" Type="http://schemas.openxmlformats.org/officeDocument/2006/relationships/hyperlink" Target="https://contracts.tractmanager.com/contracts/contractsummary.aspx?id=3435" TargetMode="External"/><Relationship Id="rId74" Type="http://schemas.openxmlformats.org/officeDocument/2006/relationships/hyperlink" Target="https://contracts.tractmanager.com/contracts/contractsummary.aspx?id=8583" TargetMode="External"/><Relationship Id="rId79" Type="http://schemas.openxmlformats.org/officeDocument/2006/relationships/hyperlink" Target="https://contracts.tractmanager.com/contracts/contractsummary.aspx?id=4509" TargetMode="External"/><Relationship Id="rId102" Type="http://schemas.openxmlformats.org/officeDocument/2006/relationships/hyperlink" Target="https://contracts.tractmanager.com/contracts/contractsummary.aspx?id=4507" TargetMode="External"/><Relationship Id="rId123" Type="http://schemas.openxmlformats.org/officeDocument/2006/relationships/hyperlink" Target="https://contracts.tractmanager.com/contracts/contractsummary.aspx?id=19055" TargetMode="External"/><Relationship Id="rId128" Type="http://schemas.openxmlformats.org/officeDocument/2006/relationships/hyperlink" Target="https://contracts.tractmanager.com/contracts/contractsummary.aspx?id=20406" TargetMode="External"/><Relationship Id="rId144" Type="http://schemas.openxmlformats.org/officeDocument/2006/relationships/printerSettings" Target="../printerSettings/printerSettings2.bin"/><Relationship Id="rId5" Type="http://schemas.openxmlformats.org/officeDocument/2006/relationships/hyperlink" Target="https://contracts.tractmanager.com/contracts/contractsummary.aspx?id=30584" TargetMode="External"/><Relationship Id="rId90" Type="http://schemas.openxmlformats.org/officeDocument/2006/relationships/hyperlink" Target="https://contracts.tractmanager.com/contracts/contractsummary.aspx?id=12941" TargetMode="External"/><Relationship Id="rId95" Type="http://schemas.openxmlformats.org/officeDocument/2006/relationships/hyperlink" Target="https://contracts.tractmanager.com/contracts/contractsummary.aspx?id=11926" TargetMode="External"/><Relationship Id="rId22" Type="http://schemas.openxmlformats.org/officeDocument/2006/relationships/hyperlink" Target="https://contracts.tractmanager.com/contracts/contractsummary.aspx?id=30585" TargetMode="External"/><Relationship Id="rId27" Type="http://schemas.openxmlformats.org/officeDocument/2006/relationships/hyperlink" Target="https://contracts.tractmanager.com/contracts/contractsummary.aspx?id=25253" TargetMode="External"/><Relationship Id="rId43" Type="http://schemas.openxmlformats.org/officeDocument/2006/relationships/hyperlink" Target="https://contracts.tractmanager.com/contracts/contractsummary.aspx?id=4456" TargetMode="External"/><Relationship Id="rId48" Type="http://schemas.openxmlformats.org/officeDocument/2006/relationships/hyperlink" Target="https://contracts.tractmanager.com/contracts/contractsummary.aspx?id=8469" TargetMode="External"/><Relationship Id="rId64" Type="http://schemas.openxmlformats.org/officeDocument/2006/relationships/hyperlink" Target="https://contracts.tractmanager.com/contracts/contractsummary.aspx?id=31156" TargetMode="External"/><Relationship Id="rId69" Type="http://schemas.openxmlformats.org/officeDocument/2006/relationships/hyperlink" Target="https://contracts.tractmanager.com/contracts/contractsummary.aspx?id=4509" TargetMode="External"/><Relationship Id="rId113" Type="http://schemas.openxmlformats.org/officeDocument/2006/relationships/hyperlink" Target="https://contracts.tractmanager.com/contracts/contractsummary.aspx?id=4129" TargetMode="External"/><Relationship Id="rId118" Type="http://schemas.openxmlformats.org/officeDocument/2006/relationships/hyperlink" Target="https://contracts.tractmanager.com/contracts/contractsummary.aspx?id=13729" TargetMode="External"/><Relationship Id="rId134" Type="http://schemas.openxmlformats.org/officeDocument/2006/relationships/hyperlink" Target="https://contracts.tractmanager.com/contracts/contractsummary.aspx?id=8499" TargetMode="External"/><Relationship Id="rId139" Type="http://schemas.openxmlformats.org/officeDocument/2006/relationships/hyperlink" Target="https://contracts.tractmanager.com/contracts/contractsummary.aspx?id=3570" TargetMode="External"/><Relationship Id="rId8" Type="http://schemas.openxmlformats.org/officeDocument/2006/relationships/hyperlink" Target="https://contracts.tractmanager.com/contracts/contractsummary.aspx?id=25253" TargetMode="External"/><Relationship Id="rId51" Type="http://schemas.openxmlformats.org/officeDocument/2006/relationships/hyperlink" Target="https://contracts.tractmanager.com/contracts/contractsummary.aspx?id=8469" TargetMode="External"/><Relationship Id="rId72" Type="http://schemas.openxmlformats.org/officeDocument/2006/relationships/hyperlink" Target="https://contracts.tractmanager.com/contracts/contractsummary.aspx?id=4509" TargetMode="External"/><Relationship Id="rId80" Type="http://schemas.openxmlformats.org/officeDocument/2006/relationships/hyperlink" Target="https://contracts.tractmanager.com/contracts/contractsummary.aspx?id=7651" TargetMode="External"/><Relationship Id="rId85" Type="http://schemas.openxmlformats.org/officeDocument/2006/relationships/hyperlink" Target="https://contracts.tractmanager.com/contracts/contractsummary.aspx?id=8623" TargetMode="External"/><Relationship Id="rId93" Type="http://schemas.openxmlformats.org/officeDocument/2006/relationships/hyperlink" Target="https://contracts.tractmanager.com/contracts/contractsummary.aspx?id=6344" TargetMode="External"/><Relationship Id="rId98" Type="http://schemas.openxmlformats.org/officeDocument/2006/relationships/hyperlink" Target="https://contracts.tractmanager.com/contracts/contractsummary.aspx?id=4507" TargetMode="External"/><Relationship Id="rId121" Type="http://schemas.openxmlformats.org/officeDocument/2006/relationships/hyperlink" Target="https://contracts.tractmanager.com/contracts/contractsummary.aspx?id=19055" TargetMode="External"/><Relationship Id="rId142" Type="http://schemas.openxmlformats.org/officeDocument/2006/relationships/hyperlink" Target="https://contracts.tractmanager.com/contracts/contractsummary.aspx?id=8474" TargetMode="External"/><Relationship Id="rId3" Type="http://schemas.openxmlformats.org/officeDocument/2006/relationships/hyperlink" Target="https://contracts.tractmanager.com/contracts/contractsummary.aspx?id=25253" TargetMode="External"/><Relationship Id="rId12" Type="http://schemas.openxmlformats.org/officeDocument/2006/relationships/hyperlink" Target="https://contracts.tractmanager.com/contracts/contractsummary.aspx?id=30583" TargetMode="External"/><Relationship Id="rId17" Type="http://schemas.openxmlformats.org/officeDocument/2006/relationships/hyperlink" Target="https://contracts.tractmanager.com/contracts/contractsummary.aspx?id=30583" TargetMode="External"/><Relationship Id="rId25" Type="http://schemas.openxmlformats.org/officeDocument/2006/relationships/hyperlink" Target="https://contracts.tractmanager.com/contracts/contractsummary.aspx?id=25253" TargetMode="External"/><Relationship Id="rId33" Type="http://schemas.openxmlformats.org/officeDocument/2006/relationships/hyperlink" Target="https://contracts.tractmanager.com/contracts/contractsummary.aspx?id=4340" TargetMode="External"/><Relationship Id="rId38" Type="http://schemas.openxmlformats.org/officeDocument/2006/relationships/hyperlink" Target="https://contracts.tractmanager.com/contracts/contractsummary.aspx?id=4340" TargetMode="External"/><Relationship Id="rId46" Type="http://schemas.openxmlformats.org/officeDocument/2006/relationships/hyperlink" Target="https://contracts.tractmanager.com/contracts/contractsummary.aspx?id=4456" TargetMode="External"/><Relationship Id="rId59" Type="http://schemas.openxmlformats.org/officeDocument/2006/relationships/hyperlink" Target="https://contracts.tractmanager.com/contracts/contractsummary.aspx?id=21856" TargetMode="External"/><Relationship Id="rId67" Type="http://schemas.openxmlformats.org/officeDocument/2006/relationships/hyperlink" Target="https://contracts.tractmanager.com/contracts/contractsummary.aspx?id=8623" TargetMode="External"/><Relationship Id="rId103" Type="http://schemas.openxmlformats.org/officeDocument/2006/relationships/hyperlink" Target="https://contracts.tractmanager.com/contracts/contractsummary.aspx?id=4129" TargetMode="External"/><Relationship Id="rId108" Type="http://schemas.openxmlformats.org/officeDocument/2006/relationships/hyperlink" Target="https://contracts.tractmanager.com/contracts/contractsummary.aspx?id=4129" TargetMode="External"/><Relationship Id="rId116" Type="http://schemas.openxmlformats.org/officeDocument/2006/relationships/hyperlink" Target="https://contracts.tractmanager.com/contracts/contractsummary.aspx?id=13729" TargetMode="External"/><Relationship Id="rId124" Type="http://schemas.openxmlformats.org/officeDocument/2006/relationships/hyperlink" Target="https://contracts.tractmanager.com/contracts/contractsummary.aspx?id=3522" TargetMode="External"/><Relationship Id="rId129" Type="http://schemas.openxmlformats.org/officeDocument/2006/relationships/hyperlink" Target="https://contracts.tractmanager.com/contracts/contractsummary.aspx?id=20406" TargetMode="External"/><Relationship Id="rId137" Type="http://schemas.openxmlformats.org/officeDocument/2006/relationships/hyperlink" Target="https://contracts.tractmanager.com/contracts/contractsummary.aspx?id=31115" TargetMode="External"/><Relationship Id="rId20" Type="http://schemas.openxmlformats.org/officeDocument/2006/relationships/hyperlink" Target="https://contracts.tractmanager.com/contracts/contractsummary.aspx?id=25253" TargetMode="External"/><Relationship Id="rId41" Type="http://schemas.openxmlformats.org/officeDocument/2006/relationships/hyperlink" Target="https://contracts.tractmanager.com/contracts/contractsummary.aspx?id=4340" TargetMode="External"/><Relationship Id="rId54" Type="http://schemas.openxmlformats.org/officeDocument/2006/relationships/hyperlink" Target="https://contracts.tractmanager.com/contracts/contractsummary.aspx?id=5736" TargetMode="External"/><Relationship Id="rId62" Type="http://schemas.openxmlformats.org/officeDocument/2006/relationships/hyperlink" Target="https://contracts.tractmanager.com/contracts/contractsummary.aspx?id=8154" TargetMode="External"/><Relationship Id="rId70" Type="http://schemas.openxmlformats.org/officeDocument/2006/relationships/hyperlink" Target="https://contracts.tractmanager.com/contracts/contractsummary.aspx?id=4509" TargetMode="External"/><Relationship Id="rId75" Type="http://schemas.openxmlformats.org/officeDocument/2006/relationships/hyperlink" Target="https://contracts.tractmanager.com/contracts/contractsummary.aspx?id=4509" TargetMode="External"/><Relationship Id="rId83" Type="http://schemas.openxmlformats.org/officeDocument/2006/relationships/hyperlink" Target="https://contracts.tractmanager.com/contracts/contractsummary.aspx?id=8623" TargetMode="External"/><Relationship Id="rId88" Type="http://schemas.openxmlformats.org/officeDocument/2006/relationships/hyperlink" Target="https://contracts.tractmanager.com/contracts/contractsummary.aspx?id=8583" TargetMode="External"/><Relationship Id="rId91" Type="http://schemas.openxmlformats.org/officeDocument/2006/relationships/hyperlink" Target="https://contracts.tractmanager.com/contracts/contractsummary.aspx?id=27581" TargetMode="External"/><Relationship Id="rId96" Type="http://schemas.openxmlformats.org/officeDocument/2006/relationships/hyperlink" Target="https://contracts.tractmanager.com/contracts/contractsummary.aspx?id=27581" TargetMode="External"/><Relationship Id="rId111" Type="http://schemas.openxmlformats.org/officeDocument/2006/relationships/hyperlink" Target="https://contracts.tractmanager.com/contracts/contractsummary.aspx?id=3570" TargetMode="External"/><Relationship Id="rId132" Type="http://schemas.openxmlformats.org/officeDocument/2006/relationships/hyperlink" Target="https://contracts.tractmanager.com/contracts/contractsummary.aspx?id=3522" TargetMode="External"/><Relationship Id="rId140" Type="http://schemas.openxmlformats.org/officeDocument/2006/relationships/hyperlink" Target="https://contracts.tractmanager.com/contracts/contractsummary.aspx?id=5862" TargetMode="External"/><Relationship Id="rId1" Type="http://schemas.openxmlformats.org/officeDocument/2006/relationships/hyperlink" Target="https://contracts.tractmanager.com/contracts/contractsummary.aspx?id=25253" TargetMode="External"/><Relationship Id="rId6" Type="http://schemas.openxmlformats.org/officeDocument/2006/relationships/hyperlink" Target="https://contracts.tractmanager.com/contracts/contractsummary.aspx?id=30583" TargetMode="External"/><Relationship Id="rId15" Type="http://schemas.openxmlformats.org/officeDocument/2006/relationships/hyperlink" Target="https://contracts.tractmanager.com/contracts/contractsummary.aspx?id=30585" TargetMode="External"/><Relationship Id="rId23" Type="http://schemas.openxmlformats.org/officeDocument/2006/relationships/hyperlink" Target="https://contracts.tractmanager.com/contracts/contractsummary.aspx?id=30584" TargetMode="External"/><Relationship Id="rId28" Type="http://schemas.openxmlformats.org/officeDocument/2006/relationships/hyperlink" Target="https://contracts.tractmanager.com/contracts/contractsummary.aspx?id=25253" TargetMode="External"/><Relationship Id="rId36" Type="http://schemas.openxmlformats.org/officeDocument/2006/relationships/hyperlink" Target="https://contracts.tractmanager.com/contracts/contractsummary.aspx?id=4340" TargetMode="External"/><Relationship Id="rId49" Type="http://schemas.openxmlformats.org/officeDocument/2006/relationships/hyperlink" Target="https://contracts.tractmanager.com/contracts/contractsummary.aspx?id=8469" TargetMode="External"/><Relationship Id="rId57" Type="http://schemas.openxmlformats.org/officeDocument/2006/relationships/hyperlink" Target="https://contracts.tractmanager.com/contracts/contractsummary.aspx?id=3435" TargetMode="External"/><Relationship Id="rId106" Type="http://schemas.openxmlformats.org/officeDocument/2006/relationships/hyperlink" Target="https://contracts.tractmanager.com/contracts/contractsummary.aspx?id=30400" TargetMode="External"/><Relationship Id="rId114" Type="http://schemas.openxmlformats.org/officeDocument/2006/relationships/hyperlink" Target="https://contracts.tractmanager.com/contracts/contractsummary.aspx?id=27661" TargetMode="External"/><Relationship Id="rId119" Type="http://schemas.openxmlformats.org/officeDocument/2006/relationships/hyperlink" Target="https://contracts.tractmanager.com/contracts/contractsummary.aspx?id=13705" TargetMode="External"/><Relationship Id="rId127" Type="http://schemas.openxmlformats.org/officeDocument/2006/relationships/hyperlink" Target="https://contracts.tractmanager.com/contracts/contractsummary.aspx?id=20406" TargetMode="External"/><Relationship Id="rId10" Type="http://schemas.openxmlformats.org/officeDocument/2006/relationships/hyperlink" Target="https://contracts.tractmanager.com/contracts/contractsummary.aspx?id=30585" TargetMode="External"/><Relationship Id="rId31" Type="http://schemas.openxmlformats.org/officeDocument/2006/relationships/hyperlink" Target="https://contracts.tractmanager.com/contracts/contractsummary.aspx?id=30387" TargetMode="External"/><Relationship Id="rId44" Type="http://schemas.openxmlformats.org/officeDocument/2006/relationships/hyperlink" Target="https://contracts.tractmanager.com/contracts/contractsummary.aspx?id=8474" TargetMode="External"/><Relationship Id="rId52" Type="http://schemas.openxmlformats.org/officeDocument/2006/relationships/hyperlink" Target="https://contracts.tractmanager.com/contracts/contractsummary.aspx?id=8469" TargetMode="External"/><Relationship Id="rId60" Type="http://schemas.openxmlformats.org/officeDocument/2006/relationships/hyperlink" Target="https://contracts.tractmanager.com/contracts/contractsummary.aspx?id=21856" TargetMode="External"/><Relationship Id="rId65" Type="http://schemas.openxmlformats.org/officeDocument/2006/relationships/hyperlink" Target="https://contracts.tractmanager.com/contracts/contractsummary.aspx?id=31156" TargetMode="External"/><Relationship Id="rId73" Type="http://schemas.openxmlformats.org/officeDocument/2006/relationships/hyperlink" Target="https://contracts.tractmanager.com/contracts/contractsummary.aspx?id=4509" TargetMode="External"/><Relationship Id="rId78" Type="http://schemas.openxmlformats.org/officeDocument/2006/relationships/hyperlink" Target="https://contracts.tractmanager.com/contracts/contractsummary.aspx?id=4509" TargetMode="External"/><Relationship Id="rId81" Type="http://schemas.openxmlformats.org/officeDocument/2006/relationships/hyperlink" Target="https://contracts.tractmanager.com/contracts/contractsummary.aspx?id=7651" TargetMode="External"/><Relationship Id="rId86" Type="http://schemas.openxmlformats.org/officeDocument/2006/relationships/hyperlink" Target="https://contracts.tractmanager.com/contracts/contractsummary.aspx?id=8623" TargetMode="External"/><Relationship Id="rId94" Type="http://schemas.openxmlformats.org/officeDocument/2006/relationships/hyperlink" Target="https://contracts.tractmanager.com/contracts/contractsummary.aspx?id=6437" TargetMode="External"/><Relationship Id="rId99" Type="http://schemas.openxmlformats.org/officeDocument/2006/relationships/hyperlink" Target="https://contracts.tractmanager.com/contracts/contractsummary.aspx?id=4129" TargetMode="External"/><Relationship Id="rId101" Type="http://schemas.openxmlformats.org/officeDocument/2006/relationships/hyperlink" Target="https://contracts.tractmanager.com/contracts/contractsummary.aspx?id=8505" TargetMode="External"/><Relationship Id="rId122" Type="http://schemas.openxmlformats.org/officeDocument/2006/relationships/hyperlink" Target="https://contracts.tractmanager.com/contracts/contractsummary.aspx?id=4129" TargetMode="External"/><Relationship Id="rId130" Type="http://schemas.openxmlformats.org/officeDocument/2006/relationships/hyperlink" Target="https://contracts.tractmanager.com/contracts/contractsummary.aspx?id=20406" TargetMode="External"/><Relationship Id="rId135" Type="http://schemas.openxmlformats.org/officeDocument/2006/relationships/hyperlink" Target="https://contracts.tractmanager.com/contracts/contractsummary.aspx?id=8623" TargetMode="External"/><Relationship Id="rId143" Type="http://schemas.openxmlformats.org/officeDocument/2006/relationships/hyperlink" Target="https://contracts.tractmanager.com/contracts/contractsummary.aspx?id=8474" TargetMode="External"/><Relationship Id="rId4" Type="http://schemas.openxmlformats.org/officeDocument/2006/relationships/hyperlink" Target="https://contracts.tractmanager.com/contracts/contractsummary.aspx?id=30585" TargetMode="External"/><Relationship Id="rId9" Type="http://schemas.openxmlformats.org/officeDocument/2006/relationships/hyperlink" Target="https://contracts.tractmanager.com/contracts/contractsummary.aspx?id=25253" TargetMode="External"/><Relationship Id="rId13" Type="http://schemas.openxmlformats.org/officeDocument/2006/relationships/hyperlink" Target="https://contracts.tractmanager.com/contracts/contractsummary.aspx?id=25253" TargetMode="External"/><Relationship Id="rId18" Type="http://schemas.openxmlformats.org/officeDocument/2006/relationships/hyperlink" Target="https://contracts.tractmanager.com/contracts/contractsummary.aspx?id=25253" TargetMode="External"/><Relationship Id="rId39" Type="http://schemas.openxmlformats.org/officeDocument/2006/relationships/hyperlink" Target="https://contracts.tractmanager.com/contracts/contractsummary.aspx?id=30727" TargetMode="External"/><Relationship Id="rId109" Type="http://schemas.openxmlformats.org/officeDocument/2006/relationships/hyperlink" Target="https://contracts.tractmanager.com/contracts/contractsummary.aspx?id=8505" TargetMode="External"/><Relationship Id="rId34" Type="http://schemas.openxmlformats.org/officeDocument/2006/relationships/hyperlink" Target="https://contracts.tractmanager.com/contracts/contractsummary.aspx?id=4340" TargetMode="External"/><Relationship Id="rId50" Type="http://schemas.openxmlformats.org/officeDocument/2006/relationships/hyperlink" Target="https://contracts.tractmanager.com/contracts/contractsummary.aspx?id=8469" TargetMode="External"/><Relationship Id="rId55" Type="http://schemas.openxmlformats.org/officeDocument/2006/relationships/hyperlink" Target="https://contracts.tractmanager.com/contracts/contractsummary.aspx?id=3435" TargetMode="External"/><Relationship Id="rId76" Type="http://schemas.openxmlformats.org/officeDocument/2006/relationships/hyperlink" Target="https://contracts.tractmanager.com/contracts/contractsummary.aspx?id=4509" TargetMode="External"/><Relationship Id="rId97" Type="http://schemas.openxmlformats.org/officeDocument/2006/relationships/hyperlink" Target="https://contracts.tractmanager.com/contracts/contractsummary.aspx?id=4507" TargetMode="External"/><Relationship Id="rId104" Type="http://schemas.openxmlformats.org/officeDocument/2006/relationships/hyperlink" Target="https://contracts.tractmanager.com/contracts/contractsummary.aspx?id=4129" TargetMode="External"/><Relationship Id="rId120" Type="http://schemas.openxmlformats.org/officeDocument/2006/relationships/hyperlink" Target="https://contracts.tractmanager.com/contracts/contractsummary.aspx?id=16069" TargetMode="External"/><Relationship Id="rId125" Type="http://schemas.openxmlformats.org/officeDocument/2006/relationships/hyperlink" Target="https://contracts.tractmanager.com/contracts/contractsummary.aspx?id=8497" TargetMode="External"/><Relationship Id="rId141" Type="http://schemas.openxmlformats.org/officeDocument/2006/relationships/hyperlink" Target="https://contracts.tractmanager.com/contracts/contractsummary.aspx?id=5862" TargetMode="External"/><Relationship Id="rId7" Type="http://schemas.openxmlformats.org/officeDocument/2006/relationships/hyperlink" Target="https://contracts.tractmanager.com/contracts/contractsummary.aspx?id=25253" TargetMode="External"/><Relationship Id="rId71" Type="http://schemas.openxmlformats.org/officeDocument/2006/relationships/hyperlink" Target="https://contracts.tractmanager.com/contracts/contractsummary.aspx?id=4509" TargetMode="External"/><Relationship Id="rId92" Type="http://schemas.openxmlformats.org/officeDocument/2006/relationships/hyperlink" Target="https://contracts.tractmanager.com/contracts/contractsummary.aspx?id=6344" TargetMode="External"/><Relationship Id="rId2" Type="http://schemas.openxmlformats.org/officeDocument/2006/relationships/hyperlink" Target="https://contracts.tractmanager.com/contracts/contractsummary.aspx?id=25253" TargetMode="External"/><Relationship Id="rId29" Type="http://schemas.openxmlformats.org/officeDocument/2006/relationships/hyperlink" Target="https://contracts.tractmanager.com/contracts/contractsummary.aspx?id=25253" TargetMode="External"/><Relationship Id="rId24" Type="http://schemas.openxmlformats.org/officeDocument/2006/relationships/hyperlink" Target="https://contracts.tractmanager.com/contracts/contractsummary.aspx?id=30583" TargetMode="External"/><Relationship Id="rId40" Type="http://schemas.openxmlformats.org/officeDocument/2006/relationships/hyperlink" Target="https://contracts.tractmanager.com/contracts/contractsummary.aspx?id=4340" TargetMode="External"/><Relationship Id="rId45" Type="http://schemas.openxmlformats.org/officeDocument/2006/relationships/hyperlink" Target="https://contracts.tractmanager.com/contracts/contractsummary.aspx?id=4456" TargetMode="External"/><Relationship Id="rId66" Type="http://schemas.openxmlformats.org/officeDocument/2006/relationships/hyperlink" Target="https://contracts.tractmanager.com/contracts/contractsummary.aspx?id=7486" TargetMode="External"/><Relationship Id="rId87" Type="http://schemas.openxmlformats.org/officeDocument/2006/relationships/hyperlink" Target="https://contracts.tractmanager.com/contracts/contractsummary.aspx?id=7651" TargetMode="External"/><Relationship Id="rId110" Type="http://schemas.openxmlformats.org/officeDocument/2006/relationships/hyperlink" Target="https://contracts.tractmanager.com/contracts/contractsummary.aspx?id=30400" TargetMode="External"/><Relationship Id="rId115" Type="http://schemas.openxmlformats.org/officeDocument/2006/relationships/hyperlink" Target="https://contracts.tractmanager.com/contracts/contractsummary.aspx?id=27661" TargetMode="External"/><Relationship Id="rId131" Type="http://schemas.openxmlformats.org/officeDocument/2006/relationships/hyperlink" Target="https://contracts.tractmanager.com/contracts/contractsummary.aspx?id=19055" TargetMode="External"/><Relationship Id="rId136" Type="http://schemas.openxmlformats.org/officeDocument/2006/relationships/hyperlink" Target="https://contracts.tractmanager.com/contracts/contractsummary.aspx?id=12590" TargetMode="External"/><Relationship Id="rId61" Type="http://schemas.openxmlformats.org/officeDocument/2006/relationships/hyperlink" Target="https://contracts.tractmanager.com/contracts/contractsummary.aspx?id=8154" TargetMode="External"/><Relationship Id="rId82" Type="http://schemas.openxmlformats.org/officeDocument/2006/relationships/hyperlink" Target="https://contracts.tractmanager.com/contracts/contractsummary.aspx?id=7651" TargetMode="External"/><Relationship Id="rId19" Type="http://schemas.openxmlformats.org/officeDocument/2006/relationships/hyperlink" Target="https://contracts.tractmanager.com/contracts/contractsummary.aspx?id=25253" TargetMode="External"/><Relationship Id="rId14" Type="http://schemas.openxmlformats.org/officeDocument/2006/relationships/hyperlink" Target="https://contracts.tractmanager.com/contracts/contractsummary.aspx?id=30585" TargetMode="External"/><Relationship Id="rId30" Type="http://schemas.openxmlformats.org/officeDocument/2006/relationships/hyperlink" Target="https://contracts.tractmanager.com/contracts/contractsummary.aspx?id=30387" TargetMode="External"/><Relationship Id="rId35" Type="http://schemas.openxmlformats.org/officeDocument/2006/relationships/hyperlink" Target="https://contracts.tractmanager.com/contracts/contractsummary.aspx?id=4340" TargetMode="External"/><Relationship Id="rId56" Type="http://schemas.openxmlformats.org/officeDocument/2006/relationships/hyperlink" Target="https://contracts.tractmanager.com/contracts/contractsummary.aspx?id=3435" TargetMode="External"/><Relationship Id="rId77" Type="http://schemas.openxmlformats.org/officeDocument/2006/relationships/hyperlink" Target="https://contracts.tractmanager.com/contracts/contractsummary.aspx?id=8623" TargetMode="External"/><Relationship Id="rId100" Type="http://schemas.openxmlformats.org/officeDocument/2006/relationships/hyperlink" Target="https://contracts.tractmanager.com/contracts/contractsummary.aspx?id=4129" TargetMode="External"/><Relationship Id="rId105" Type="http://schemas.openxmlformats.org/officeDocument/2006/relationships/hyperlink" Target="https://contracts.tractmanager.com/contracts/contractsummary.aspx?id=8505" TargetMode="External"/><Relationship Id="rId126" Type="http://schemas.openxmlformats.org/officeDocument/2006/relationships/hyperlink" Target="https://contracts.tractmanager.com/contracts/contractsummary.aspx?id=3522"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hyperlink" Target="mailto:giselle.lopez-ingram@mountsinai.org" TargetMode="External"/><Relationship Id="rId2" Type="http://schemas.openxmlformats.org/officeDocument/2006/relationships/hyperlink" Target="mailto:Gavin.Kirkpatrick@molnlycke.com" TargetMode="External"/><Relationship Id="rId1" Type="http://schemas.openxmlformats.org/officeDocument/2006/relationships/hyperlink" Target="mailto:Gavin.Kirkpatrick@molnlycke.com%20&amp;%20Liz" TargetMode="External"/><Relationship Id="rId5" Type="http://schemas.openxmlformats.org/officeDocument/2006/relationships/hyperlink" Target="mailto:sal.tranchina@mssm.edu" TargetMode="External"/><Relationship Id="rId4" Type="http://schemas.openxmlformats.org/officeDocument/2006/relationships/hyperlink" Target="mailto:Amarilis.Etayem@grainger.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722B5-3A6F-4AB1-B293-C295826A453A}">
  <sheetPr filterMode="1"/>
  <dimension ref="A1:AL45"/>
  <sheetViews>
    <sheetView tabSelected="1" zoomScale="90" zoomScaleNormal="90" workbookViewId="0">
      <pane ySplit="1" topLeftCell="A5" activePane="bottomLeft" state="frozen"/>
      <selection activeCell="L1" sqref="L1"/>
      <selection pane="bottomLeft" activeCell="K20" sqref="A1:AL45"/>
    </sheetView>
  </sheetViews>
  <sheetFormatPr defaultRowHeight="15.6" x14ac:dyDescent="0.3"/>
  <cols>
    <col min="2" max="3" width="15.5" bestFit="1" customWidth="1"/>
    <col min="4" max="4" width="20.19921875" customWidth="1"/>
    <col min="5" max="5" width="28.3984375" hidden="1" customWidth="1"/>
    <col min="6" max="6" width="28.3984375" customWidth="1"/>
    <col min="7" max="7" width="14.5" customWidth="1"/>
    <col min="12" max="12" width="10.59765625" bestFit="1" customWidth="1"/>
    <col min="13" max="13" width="10" bestFit="1" customWidth="1"/>
    <col min="19" max="19" width="12.09765625" bestFit="1" customWidth="1"/>
    <col min="20" max="20" width="11.69921875" bestFit="1" customWidth="1"/>
    <col min="22" max="22" width="11.8984375" bestFit="1" customWidth="1"/>
    <col min="24" max="24" width="9.19921875" bestFit="1" customWidth="1"/>
    <col min="25" max="25" width="9.59765625" bestFit="1" customWidth="1"/>
    <col min="27" max="28" width="9.59765625" bestFit="1" customWidth="1"/>
    <col min="29" max="30" width="10.5" bestFit="1" customWidth="1"/>
    <col min="31" max="33" width="9.59765625" bestFit="1" customWidth="1"/>
    <col min="35" max="35" width="9.59765625" bestFit="1" customWidth="1"/>
    <col min="36" max="36" width="9.19921875" bestFit="1" customWidth="1"/>
    <col min="37" max="37" width="10.5" bestFit="1" customWidth="1"/>
    <col min="38" max="38" width="9.59765625" bestFit="1" customWidth="1"/>
  </cols>
  <sheetData>
    <row r="1" spans="1:38" s="80" customFormat="1" ht="72" x14ac:dyDescent="0.3">
      <c r="A1" s="75" t="s">
        <v>171</v>
      </c>
      <c r="B1" s="75" t="s">
        <v>45</v>
      </c>
      <c r="C1" s="75" t="s">
        <v>46</v>
      </c>
      <c r="D1" s="75" t="s">
        <v>766</v>
      </c>
      <c r="E1" s="75" t="s">
        <v>767</v>
      </c>
      <c r="F1" s="75" t="s">
        <v>972</v>
      </c>
      <c r="G1" s="75" t="s">
        <v>1214</v>
      </c>
      <c r="H1" s="75" t="s">
        <v>860</v>
      </c>
      <c r="I1" s="75" t="s">
        <v>861</v>
      </c>
      <c r="J1" s="75" t="s">
        <v>857</v>
      </c>
      <c r="K1" s="75" t="s">
        <v>858</v>
      </c>
      <c r="L1" s="75" t="s">
        <v>866</v>
      </c>
      <c r="M1" s="75" t="s">
        <v>279</v>
      </c>
      <c r="N1" s="75" t="s">
        <v>48</v>
      </c>
      <c r="O1" s="75" t="s">
        <v>49</v>
      </c>
      <c r="P1" s="75" t="s">
        <v>50</v>
      </c>
      <c r="Q1" s="75" t="s">
        <v>165</v>
      </c>
      <c r="R1" s="76" t="s">
        <v>258</v>
      </c>
      <c r="S1" s="77" t="s">
        <v>51</v>
      </c>
      <c r="T1" s="76" t="s">
        <v>249</v>
      </c>
      <c r="U1" s="75" t="s">
        <v>52</v>
      </c>
      <c r="V1" s="75" t="s">
        <v>53</v>
      </c>
      <c r="W1" s="4" t="s">
        <v>86</v>
      </c>
      <c r="X1" s="413" t="s">
        <v>59</v>
      </c>
      <c r="Y1" s="413" t="s">
        <v>58</v>
      </c>
      <c r="Z1" s="413" t="s">
        <v>60</v>
      </c>
      <c r="AA1" s="413" t="s">
        <v>56</v>
      </c>
      <c r="AB1" s="413" t="s">
        <v>61</v>
      </c>
      <c r="AC1" s="413" t="s">
        <v>62</v>
      </c>
      <c r="AD1" s="413" t="s">
        <v>63</v>
      </c>
      <c r="AE1" s="413" t="s">
        <v>55</v>
      </c>
      <c r="AF1" s="413" t="s">
        <v>64</v>
      </c>
      <c r="AG1" s="413" t="s">
        <v>54</v>
      </c>
      <c r="AH1" s="413" t="s">
        <v>65</v>
      </c>
      <c r="AI1" s="413" t="s">
        <v>57</v>
      </c>
      <c r="AJ1" s="413" t="s">
        <v>801</v>
      </c>
      <c r="AK1" s="414" t="s">
        <v>161</v>
      </c>
      <c r="AL1" s="413" t="s">
        <v>162</v>
      </c>
    </row>
    <row r="2" spans="1:38" s="82" customFormat="1" ht="24.9" hidden="1" customHeight="1" x14ac:dyDescent="0.3">
      <c r="A2" s="82">
        <v>1</v>
      </c>
      <c r="B2" s="82" t="s">
        <v>17</v>
      </c>
      <c r="C2" s="82" t="s">
        <v>17</v>
      </c>
      <c r="D2" s="102" t="s">
        <v>1218</v>
      </c>
      <c r="E2" s="102"/>
      <c r="F2" s="231" t="s">
        <v>311</v>
      </c>
      <c r="G2" s="83">
        <v>102456</v>
      </c>
      <c r="H2" s="84">
        <v>43452</v>
      </c>
      <c r="I2" s="84">
        <v>46387</v>
      </c>
      <c r="J2" s="85">
        <v>45864</v>
      </c>
      <c r="K2" s="85">
        <v>45954</v>
      </c>
      <c r="L2" s="85" t="s">
        <v>295</v>
      </c>
      <c r="M2" s="86" t="s">
        <v>310</v>
      </c>
      <c r="N2" s="82" t="s">
        <v>1</v>
      </c>
      <c r="O2" s="87">
        <v>46034</v>
      </c>
      <c r="P2" s="82" t="s">
        <v>2</v>
      </c>
      <c r="Q2" s="82" t="s">
        <v>168</v>
      </c>
      <c r="R2" s="122"/>
      <c r="S2" s="123">
        <v>25650</v>
      </c>
      <c r="T2" s="122">
        <v>215719.39</v>
      </c>
      <c r="U2" s="82" t="s">
        <v>3</v>
      </c>
      <c r="W2" s="102"/>
      <c r="X2" s="122"/>
      <c r="Y2" s="122"/>
      <c r="Z2" s="122"/>
      <c r="AA2" s="122"/>
      <c r="AB2" s="122"/>
      <c r="AC2" s="122">
        <v>23850</v>
      </c>
      <c r="AD2" s="122">
        <v>1800</v>
      </c>
      <c r="AE2" s="122"/>
      <c r="AF2" s="122"/>
      <c r="AG2" s="122"/>
      <c r="AH2" s="122"/>
      <c r="AI2" s="122"/>
      <c r="AJ2" s="122"/>
      <c r="AK2" s="122">
        <f>SUM(X2:AJ2)</f>
        <v>25650</v>
      </c>
      <c r="AL2" s="122">
        <f>S2-AK2</f>
        <v>0</v>
      </c>
    </row>
    <row r="3" spans="1:38" s="82" customFormat="1" ht="24.9" hidden="1" customHeight="1" x14ac:dyDescent="0.3">
      <c r="A3" s="82">
        <v>2</v>
      </c>
      <c r="B3" s="82" t="s">
        <v>17</v>
      </c>
      <c r="C3" s="82" t="s">
        <v>17</v>
      </c>
      <c r="D3" s="102" t="s">
        <v>1217</v>
      </c>
      <c r="E3" s="102"/>
      <c r="F3" s="412" t="s">
        <v>1216</v>
      </c>
      <c r="G3" s="94" t="s">
        <v>1219</v>
      </c>
      <c r="H3" s="84">
        <v>41852</v>
      </c>
      <c r="I3" s="84">
        <v>46599</v>
      </c>
      <c r="J3" s="85">
        <v>45864</v>
      </c>
      <c r="K3" s="85">
        <v>45954</v>
      </c>
      <c r="L3" s="85" t="s">
        <v>295</v>
      </c>
      <c r="M3" s="86" t="s">
        <v>310</v>
      </c>
      <c r="N3" s="82" t="s">
        <v>1</v>
      </c>
      <c r="O3" s="87">
        <v>46034</v>
      </c>
      <c r="P3" s="82" t="s">
        <v>2</v>
      </c>
      <c r="Q3" s="82" t="s">
        <v>168</v>
      </c>
      <c r="R3" s="122"/>
      <c r="S3" s="123">
        <v>111319.39</v>
      </c>
      <c r="T3" s="122">
        <v>215719.39</v>
      </c>
      <c r="U3" s="82" t="s">
        <v>3</v>
      </c>
      <c r="W3" s="102"/>
      <c r="X3" s="122"/>
      <c r="Y3" s="122"/>
      <c r="Z3" s="122"/>
      <c r="AA3" s="122"/>
      <c r="AB3" s="122"/>
      <c r="AC3" s="122">
        <v>103234.39</v>
      </c>
      <c r="AD3" s="122">
        <v>8085</v>
      </c>
      <c r="AE3" s="122"/>
      <c r="AF3" s="122"/>
      <c r="AG3" s="122"/>
      <c r="AH3" s="122"/>
      <c r="AI3" s="122"/>
      <c r="AJ3" s="122"/>
      <c r="AK3" s="122">
        <f>SUM(X3:AJ3)</f>
        <v>111319.39</v>
      </c>
      <c r="AL3" s="122">
        <f>S3-AK3</f>
        <v>0</v>
      </c>
    </row>
    <row r="4" spans="1:38" s="82" customFormat="1" ht="24.9" hidden="1" customHeight="1" x14ac:dyDescent="0.3">
      <c r="A4" s="82">
        <v>3</v>
      </c>
      <c r="B4" s="82" t="s">
        <v>17</v>
      </c>
      <c r="C4" s="82" t="s">
        <v>17</v>
      </c>
      <c r="D4" s="102" t="s">
        <v>1215</v>
      </c>
      <c r="E4" s="102"/>
      <c r="F4" s="231" t="s">
        <v>995</v>
      </c>
      <c r="G4" s="83">
        <v>109226</v>
      </c>
      <c r="H4" s="84">
        <v>41852</v>
      </c>
      <c r="I4" s="84">
        <v>46599</v>
      </c>
      <c r="J4" s="85">
        <v>45864</v>
      </c>
      <c r="K4" s="85">
        <v>45954</v>
      </c>
      <c r="L4" s="85" t="s">
        <v>295</v>
      </c>
      <c r="M4" s="86" t="s">
        <v>305</v>
      </c>
      <c r="N4" s="82" t="s">
        <v>1</v>
      </c>
      <c r="O4" s="87">
        <v>46034</v>
      </c>
      <c r="P4" s="82" t="s">
        <v>2</v>
      </c>
      <c r="Q4" s="82" t="s">
        <v>168</v>
      </c>
      <c r="R4" s="122"/>
      <c r="S4" s="123">
        <v>78750</v>
      </c>
      <c r="T4" s="122">
        <v>215719.39</v>
      </c>
      <c r="U4" s="82" t="s">
        <v>3</v>
      </c>
      <c r="W4" s="102"/>
      <c r="X4" s="122"/>
      <c r="Y4" s="122"/>
      <c r="Z4" s="122"/>
      <c r="AA4" s="122"/>
      <c r="AB4" s="122"/>
      <c r="AC4" s="122">
        <v>78750</v>
      </c>
      <c r="AD4" s="122"/>
      <c r="AE4" s="122"/>
      <c r="AF4" s="122"/>
      <c r="AG4" s="122"/>
      <c r="AH4" s="122"/>
      <c r="AI4" s="122"/>
      <c r="AJ4" s="122"/>
      <c r="AK4" s="122">
        <f>SUM(X4:AJ4)</f>
        <v>78750</v>
      </c>
      <c r="AL4" s="122">
        <f>S4-AK4</f>
        <v>0</v>
      </c>
    </row>
    <row r="5" spans="1:38" s="82" customFormat="1" ht="24.9" customHeight="1" x14ac:dyDescent="0.3">
      <c r="A5" s="82">
        <v>4</v>
      </c>
      <c r="B5" s="82" t="s">
        <v>0</v>
      </c>
      <c r="C5" s="82" t="s">
        <v>0</v>
      </c>
      <c r="D5" s="102" t="s">
        <v>1220</v>
      </c>
      <c r="E5" s="102" t="s">
        <v>1221</v>
      </c>
      <c r="F5" s="102" t="s">
        <v>983</v>
      </c>
      <c r="G5" s="83">
        <v>133</v>
      </c>
      <c r="H5" s="84">
        <v>45322</v>
      </c>
      <c r="I5" s="84">
        <v>45961</v>
      </c>
      <c r="J5" s="85">
        <v>45931</v>
      </c>
      <c r="K5" s="85">
        <v>46022</v>
      </c>
      <c r="L5" s="85" t="s">
        <v>295</v>
      </c>
      <c r="M5" s="91" t="s">
        <v>286</v>
      </c>
      <c r="N5" s="82" t="s">
        <v>1</v>
      </c>
      <c r="O5" s="87">
        <v>46038</v>
      </c>
      <c r="P5" s="82" t="s">
        <v>2</v>
      </c>
      <c r="Q5" s="82" t="s">
        <v>1232</v>
      </c>
      <c r="R5" s="122"/>
      <c r="S5" s="123">
        <v>324000</v>
      </c>
      <c r="T5" s="122">
        <v>324000</v>
      </c>
      <c r="U5" s="82" t="s">
        <v>3</v>
      </c>
      <c r="W5" s="102"/>
      <c r="X5" s="122"/>
      <c r="Y5" s="122"/>
      <c r="Z5" s="122"/>
      <c r="AA5" s="122"/>
      <c r="AB5" s="122"/>
      <c r="AC5" s="122"/>
      <c r="AD5" s="122">
        <v>324000</v>
      </c>
      <c r="AE5" s="122"/>
      <c r="AF5" s="122"/>
      <c r="AG5" s="122"/>
      <c r="AH5" s="122"/>
      <c r="AI5" s="122"/>
      <c r="AJ5" s="122"/>
      <c r="AK5" s="122">
        <f>SUM(X5:AJ5)</f>
        <v>324000</v>
      </c>
      <c r="AL5" s="122">
        <f>S5-AK5</f>
        <v>0</v>
      </c>
    </row>
    <row r="6" spans="1:38" s="82" customFormat="1" ht="24.9" hidden="1" customHeight="1" x14ac:dyDescent="0.3">
      <c r="A6" s="82">
        <v>5</v>
      </c>
      <c r="B6" s="82" t="s">
        <v>237</v>
      </c>
      <c r="C6" s="82" t="s">
        <v>237</v>
      </c>
      <c r="D6" s="82" t="s">
        <v>1222</v>
      </c>
      <c r="E6" s="102" t="s">
        <v>975</v>
      </c>
      <c r="F6" s="102" t="s">
        <v>975</v>
      </c>
      <c r="G6" s="83">
        <v>529</v>
      </c>
      <c r="H6" s="84">
        <v>44743</v>
      </c>
      <c r="I6" s="84">
        <v>46022</v>
      </c>
      <c r="J6" s="85">
        <v>45992</v>
      </c>
      <c r="K6" s="85">
        <v>46022</v>
      </c>
      <c r="L6" s="85" t="s">
        <v>337</v>
      </c>
      <c r="M6" s="86" t="s">
        <v>793</v>
      </c>
      <c r="N6" s="82" t="s">
        <v>1</v>
      </c>
      <c r="O6" s="87">
        <v>46038</v>
      </c>
      <c r="P6" s="82" t="s">
        <v>92</v>
      </c>
      <c r="R6" s="122"/>
      <c r="S6" s="123">
        <v>4624.63</v>
      </c>
      <c r="T6" s="122">
        <v>4624.63</v>
      </c>
      <c r="U6" s="82" t="s">
        <v>3</v>
      </c>
      <c r="W6" s="102"/>
      <c r="X6" s="122">
        <v>7.52</v>
      </c>
      <c r="Y6" s="122">
        <v>58.48</v>
      </c>
      <c r="Z6" s="122">
        <v>61.45</v>
      </c>
      <c r="AA6" s="122">
        <v>304.64</v>
      </c>
      <c r="AB6" s="122">
        <v>31.64</v>
      </c>
      <c r="AC6" s="122">
        <v>2198.2800000000002</v>
      </c>
      <c r="AD6" s="122">
        <v>533.48</v>
      </c>
      <c r="AE6" s="122">
        <v>300</v>
      </c>
      <c r="AF6" s="122">
        <v>45.57</v>
      </c>
      <c r="AG6" s="122">
        <v>726.53</v>
      </c>
      <c r="AH6" s="122">
        <v>38.29</v>
      </c>
      <c r="AI6" s="122">
        <v>296.2</v>
      </c>
      <c r="AJ6" s="122">
        <v>22.55</v>
      </c>
      <c r="AK6" s="122">
        <f>SUM(X6:AJ6)</f>
        <v>4624.63</v>
      </c>
      <c r="AL6" s="122">
        <f>S6-AK6</f>
        <v>0</v>
      </c>
    </row>
    <row r="7" spans="1:38" s="82" customFormat="1" ht="24.9" hidden="1" customHeight="1" x14ac:dyDescent="0.3">
      <c r="A7" s="82">
        <v>6</v>
      </c>
      <c r="B7" s="82" t="s">
        <v>30</v>
      </c>
      <c r="C7" s="82" t="s">
        <v>30</v>
      </c>
      <c r="D7" s="102" t="s">
        <v>1223</v>
      </c>
      <c r="E7" s="102"/>
      <c r="F7" s="102" t="s">
        <v>1228</v>
      </c>
      <c r="G7" s="83">
        <v>244</v>
      </c>
      <c r="H7" s="84">
        <v>42061</v>
      </c>
      <c r="I7" s="84">
        <v>46446</v>
      </c>
      <c r="J7" s="85">
        <v>45901</v>
      </c>
      <c r="K7" s="85">
        <v>45991</v>
      </c>
      <c r="L7" s="85" t="s">
        <v>295</v>
      </c>
      <c r="M7" s="86" t="s">
        <v>380</v>
      </c>
      <c r="N7" s="82" t="s">
        <v>1</v>
      </c>
      <c r="O7" s="87">
        <v>46044</v>
      </c>
      <c r="P7" s="82" t="s">
        <v>2</v>
      </c>
      <c r="Q7" s="82" t="s">
        <v>168</v>
      </c>
      <c r="R7" s="122"/>
      <c r="S7" s="123">
        <v>27500</v>
      </c>
      <c r="T7" s="122">
        <v>52000</v>
      </c>
      <c r="U7" s="82" t="s">
        <v>3</v>
      </c>
      <c r="W7" s="102"/>
      <c r="X7" s="122"/>
      <c r="Y7" s="122"/>
      <c r="Z7" s="122"/>
      <c r="AA7" s="122"/>
      <c r="AB7" s="122"/>
      <c r="AC7" s="122">
        <v>27500</v>
      </c>
      <c r="AD7" s="122"/>
      <c r="AE7" s="122"/>
      <c r="AF7" s="122"/>
      <c r="AG7" s="122"/>
      <c r="AH7" s="122"/>
      <c r="AI7" s="122"/>
      <c r="AJ7" s="122"/>
      <c r="AK7" s="122">
        <f t="shared" ref="AK7:AK12" si="0">SUM(X7:AJ7)</f>
        <v>27500</v>
      </c>
      <c r="AL7" s="122">
        <f t="shared" ref="AL7:AL12" si="1">S7-AK7</f>
        <v>0</v>
      </c>
    </row>
    <row r="8" spans="1:38" s="82" customFormat="1" ht="24.9" hidden="1" customHeight="1" x14ac:dyDescent="0.3">
      <c r="A8" s="82">
        <v>7</v>
      </c>
      <c r="B8" s="82" t="s">
        <v>30</v>
      </c>
      <c r="C8" s="82" t="s">
        <v>30</v>
      </c>
      <c r="D8" s="102" t="s">
        <v>1224</v>
      </c>
      <c r="E8" s="102"/>
      <c r="F8" s="102" t="s">
        <v>1229</v>
      </c>
      <c r="G8" s="83">
        <v>244</v>
      </c>
      <c r="H8" s="84">
        <v>42061</v>
      </c>
      <c r="I8" s="84">
        <v>46446</v>
      </c>
      <c r="J8" s="85">
        <v>45901</v>
      </c>
      <c r="K8" s="85">
        <v>45991</v>
      </c>
      <c r="L8" s="85" t="s">
        <v>295</v>
      </c>
      <c r="M8" s="86" t="s">
        <v>380</v>
      </c>
      <c r="N8" s="82" t="s">
        <v>1</v>
      </c>
      <c r="O8" s="87">
        <v>46044</v>
      </c>
      <c r="P8" s="82" t="s">
        <v>2</v>
      </c>
      <c r="Q8" s="82" t="s">
        <v>168</v>
      </c>
      <c r="R8" s="122"/>
      <c r="S8" s="123">
        <v>7500</v>
      </c>
      <c r="T8" s="122">
        <v>52000</v>
      </c>
      <c r="U8" s="82" t="s">
        <v>3</v>
      </c>
      <c r="W8" s="102"/>
      <c r="X8" s="122"/>
      <c r="Y8" s="122"/>
      <c r="Z8" s="122"/>
      <c r="AA8" s="122"/>
      <c r="AB8" s="122"/>
      <c r="AC8" s="122">
        <v>7500</v>
      </c>
      <c r="AD8" s="122"/>
      <c r="AE8" s="122"/>
      <c r="AF8" s="122"/>
      <c r="AG8" s="122"/>
      <c r="AH8" s="122"/>
      <c r="AI8" s="122"/>
      <c r="AJ8" s="122"/>
      <c r="AK8" s="122">
        <f t="shared" si="0"/>
        <v>7500</v>
      </c>
      <c r="AL8" s="122">
        <f t="shared" si="1"/>
        <v>0</v>
      </c>
    </row>
    <row r="9" spans="1:38" s="82" customFormat="1" ht="24.9" hidden="1" customHeight="1" x14ac:dyDescent="0.3">
      <c r="A9" s="82">
        <v>8</v>
      </c>
      <c r="B9" s="82" t="s">
        <v>30</v>
      </c>
      <c r="C9" s="82" t="s">
        <v>30</v>
      </c>
      <c r="D9" s="102" t="s">
        <v>1225</v>
      </c>
      <c r="E9" s="102"/>
      <c r="F9" s="102" t="s">
        <v>1229</v>
      </c>
      <c r="G9" s="83">
        <v>244</v>
      </c>
      <c r="H9" s="84">
        <v>42061</v>
      </c>
      <c r="I9" s="84">
        <v>46446</v>
      </c>
      <c r="J9" s="85">
        <v>45809</v>
      </c>
      <c r="K9" s="85">
        <v>45900</v>
      </c>
      <c r="L9" s="85" t="s">
        <v>295</v>
      </c>
      <c r="M9" s="86" t="s">
        <v>380</v>
      </c>
      <c r="N9" s="82" t="s">
        <v>1</v>
      </c>
      <c r="O9" s="87">
        <v>46044</v>
      </c>
      <c r="P9" s="82" t="s">
        <v>2</v>
      </c>
      <c r="Q9" s="82" t="s">
        <v>168</v>
      </c>
      <c r="R9" s="122"/>
      <c r="S9" s="123">
        <v>11000</v>
      </c>
      <c r="T9" s="122">
        <v>52000</v>
      </c>
      <c r="U9" s="82" t="s">
        <v>3</v>
      </c>
      <c r="W9" s="102"/>
      <c r="X9" s="122"/>
      <c r="Y9" s="122"/>
      <c r="Z9" s="122"/>
      <c r="AA9" s="122"/>
      <c r="AB9" s="122"/>
      <c r="AC9" s="122">
        <v>11000</v>
      </c>
      <c r="AD9" s="122"/>
      <c r="AE9" s="122"/>
      <c r="AF9" s="122"/>
      <c r="AG9" s="122"/>
      <c r="AH9" s="122"/>
      <c r="AI9" s="122"/>
      <c r="AJ9" s="122"/>
      <c r="AK9" s="122">
        <f t="shared" si="0"/>
        <v>11000</v>
      </c>
      <c r="AL9" s="122">
        <f t="shared" si="1"/>
        <v>0</v>
      </c>
    </row>
    <row r="10" spans="1:38" s="82" customFormat="1" ht="24.9" hidden="1" customHeight="1" x14ac:dyDescent="0.3">
      <c r="A10" s="82">
        <v>9</v>
      </c>
      <c r="B10" s="82" t="s">
        <v>30</v>
      </c>
      <c r="C10" s="82" t="s">
        <v>30</v>
      </c>
      <c r="D10" s="102" t="s">
        <v>1226</v>
      </c>
      <c r="E10" s="102"/>
      <c r="F10" s="102" t="s">
        <v>1229</v>
      </c>
      <c r="G10" s="83">
        <v>244</v>
      </c>
      <c r="H10" s="84">
        <v>42061</v>
      </c>
      <c r="I10" s="84">
        <v>46446</v>
      </c>
      <c r="J10" s="85">
        <v>45717</v>
      </c>
      <c r="K10" s="85">
        <v>45808</v>
      </c>
      <c r="L10" s="85" t="s">
        <v>295</v>
      </c>
      <c r="M10" s="86" t="s">
        <v>380</v>
      </c>
      <c r="N10" s="82" t="s">
        <v>1</v>
      </c>
      <c r="O10" s="87">
        <v>46044</v>
      </c>
      <c r="P10" s="82" t="s">
        <v>2</v>
      </c>
      <c r="Q10" s="82" t="s">
        <v>168</v>
      </c>
      <c r="R10" s="122"/>
      <c r="S10" s="123">
        <v>6000</v>
      </c>
      <c r="T10" s="122">
        <v>52000</v>
      </c>
      <c r="U10" s="82" t="s">
        <v>3</v>
      </c>
      <c r="W10" s="102"/>
      <c r="X10" s="122"/>
      <c r="Y10" s="122"/>
      <c r="Z10" s="122"/>
      <c r="AA10" s="122"/>
      <c r="AB10" s="122"/>
      <c r="AC10" s="122">
        <v>6000</v>
      </c>
      <c r="AD10" s="122"/>
      <c r="AE10" s="122"/>
      <c r="AF10" s="122"/>
      <c r="AG10" s="122"/>
      <c r="AH10" s="122"/>
      <c r="AI10" s="122"/>
      <c r="AJ10" s="122"/>
      <c r="AK10" s="122">
        <f t="shared" si="0"/>
        <v>6000</v>
      </c>
      <c r="AL10" s="122">
        <f t="shared" si="1"/>
        <v>0</v>
      </c>
    </row>
    <row r="11" spans="1:38" s="82" customFormat="1" ht="24.9" customHeight="1" x14ac:dyDescent="0.3">
      <c r="A11" s="82">
        <v>10</v>
      </c>
      <c r="B11" s="82" t="s">
        <v>0</v>
      </c>
      <c r="C11" s="82" t="s">
        <v>0</v>
      </c>
      <c r="D11" s="102" t="s">
        <v>1227</v>
      </c>
      <c r="E11" s="102"/>
      <c r="F11" s="102" t="s">
        <v>984</v>
      </c>
      <c r="G11" s="83">
        <v>341</v>
      </c>
      <c r="H11" s="84">
        <v>42069</v>
      </c>
      <c r="I11" s="84">
        <v>46022</v>
      </c>
      <c r="J11" s="85">
        <v>45839</v>
      </c>
      <c r="K11" s="85">
        <v>46022</v>
      </c>
      <c r="L11" s="85" t="s">
        <v>295</v>
      </c>
      <c r="M11" s="86" t="s">
        <v>685</v>
      </c>
      <c r="N11" s="82" t="s">
        <v>1</v>
      </c>
      <c r="O11" s="87">
        <v>46045</v>
      </c>
      <c r="P11" s="82" t="s">
        <v>2</v>
      </c>
      <c r="Q11" s="82" t="s">
        <v>168</v>
      </c>
      <c r="R11" s="122"/>
      <c r="S11" s="123">
        <v>39100</v>
      </c>
      <c r="T11" s="122">
        <v>39100</v>
      </c>
      <c r="U11" s="82" t="s">
        <v>3</v>
      </c>
      <c r="W11" s="102"/>
      <c r="X11" s="122"/>
      <c r="Y11" s="122"/>
      <c r="Z11" s="122"/>
      <c r="AA11" s="122">
        <v>4300</v>
      </c>
      <c r="AB11" s="122"/>
      <c r="AC11" s="122">
        <v>19700</v>
      </c>
      <c r="AD11" s="122">
        <v>13700</v>
      </c>
      <c r="AE11" s="122"/>
      <c r="AF11" s="122"/>
      <c r="AG11" s="122"/>
      <c r="AH11" s="122"/>
      <c r="AI11" s="122">
        <v>1400</v>
      </c>
      <c r="AJ11" s="122"/>
      <c r="AK11" s="122">
        <f t="shared" si="0"/>
        <v>39100</v>
      </c>
      <c r="AL11" s="122">
        <f t="shared" si="1"/>
        <v>0</v>
      </c>
    </row>
    <row r="12" spans="1:38" s="82" customFormat="1" ht="24.9" hidden="1" customHeight="1" x14ac:dyDescent="0.3">
      <c r="A12" s="82">
        <v>11</v>
      </c>
      <c r="B12" s="82" t="s">
        <v>103</v>
      </c>
      <c r="C12" s="82" t="s">
        <v>103</v>
      </c>
      <c r="D12" s="102" t="s">
        <v>1231</v>
      </c>
      <c r="E12" s="102"/>
      <c r="F12" s="231" t="s">
        <v>974</v>
      </c>
      <c r="G12" s="83">
        <v>41</v>
      </c>
      <c r="H12" s="84">
        <v>44901</v>
      </c>
      <c r="I12" s="84">
        <v>46721</v>
      </c>
      <c r="J12" s="85">
        <v>45931</v>
      </c>
      <c r="K12" s="85">
        <v>46022</v>
      </c>
      <c r="L12" s="85" t="s">
        <v>295</v>
      </c>
      <c r="M12" s="86" t="s">
        <v>353</v>
      </c>
      <c r="N12" s="82" t="s">
        <v>1</v>
      </c>
      <c r="O12" s="87">
        <v>46049</v>
      </c>
      <c r="P12" s="82" t="s">
        <v>275</v>
      </c>
      <c r="R12" s="122"/>
      <c r="S12" s="123">
        <v>8922.8700000000008</v>
      </c>
      <c r="T12" s="122">
        <v>8922.8700000000008</v>
      </c>
      <c r="U12" s="82" t="s">
        <v>8</v>
      </c>
      <c r="W12" s="102" t="s">
        <v>1230</v>
      </c>
      <c r="X12" s="122"/>
      <c r="Y12" s="122">
        <v>3.55</v>
      </c>
      <c r="Z12" s="122"/>
      <c r="AA12" s="122"/>
      <c r="AB12" s="122">
        <v>21.04</v>
      </c>
      <c r="AC12" s="122">
        <v>6342.15</v>
      </c>
      <c r="AD12" s="122">
        <v>793.54</v>
      </c>
      <c r="AE12" s="122">
        <v>10.08</v>
      </c>
      <c r="AF12" s="122"/>
      <c r="AG12" s="122">
        <v>819.37</v>
      </c>
      <c r="AH12" s="122"/>
      <c r="AI12" s="122">
        <v>884.79</v>
      </c>
      <c r="AJ12" s="122">
        <v>48.35</v>
      </c>
      <c r="AK12" s="122">
        <f t="shared" si="0"/>
        <v>8922.8700000000008</v>
      </c>
      <c r="AL12" s="122">
        <f t="shared" si="1"/>
        <v>0</v>
      </c>
    </row>
    <row r="13" spans="1:38" s="82" customFormat="1" ht="24.9" hidden="1" customHeight="1" x14ac:dyDescent="0.3">
      <c r="A13" s="82">
        <v>12</v>
      </c>
      <c r="B13" s="82" t="s">
        <v>10</v>
      </c>
      <c r="C13" s="82" t="s">
        <v>10</v>
      </c>
      <c r="D13" s="102" t="s">
        <v>1238</v>
      </c>
      <c r="E13" s="102"/>
      <c r="F13" s="102" t="s">
        <v>990</v>
      </c>
      <c r="G13" s="83">
        <v>101</v>
      </c>
      <c r="H13" s="84">
        <v>42881</v>
      </c>
      <c r="I13" s="84">
        <v>46112</v>
      </c>
      <c r="J13" s="84">
        <v>45931</v>
      </c>
      <c r="K13" s="84">
        <v>46022</v>
      </c>
      <c r="L13" s="94" t="s">
        <v>295</v>
      </c>
      <c r="M13" s="86" t="s">
        <v>475</v>
      </c>
      <c r="N13" s="82" t="s">
        <v>1</v>
      </c>
      <c r="O13" s="87">
        <v>46065</v>
      </c>
      <c r="P13" s="82" t="s">
        <v>2</v>
      </c>
      <c r="Q13" s="82" t="s">
        <v>168</v>
      </c>
      <c r="R13" s="122"/>
      <c r="S13" s="99">
        <v>9750</v>
      </c>
      <c r="T13" s="122">
        <v>365750</v>
      </c>
      <c r="U13" s="82" t="s">
        <v>8</v>
      </c>
      <c r="W13" s="102"/>
      <c r="X13" s="122"/>
      <c r="Y13" s="122"/>
      <c r="Z13" s="122"/>
      <c r="AA13" s="122"/>
      <c r="AB13" s="122"/>
      <c r="AC13" s="122"/>
      <c r="AD13" s="122">
        <v>9750</v>
      </c>
      <c r="AE13" s="122"/>
      <c r="AF13" s="122"/>
      <c r="AG13" s="122"/>
      <c r="AH13" s="122"/>
      <c r="AI13" s="122"/>
      <c r="AJ13" s="122"/>
      <c r="AK13" s="122">
        <f t="shared" ref="AK13:AK26" si="2">SUM(X13:AJ13)</f>
        <v>9750</v>
      </c>
      <c r="AL13" s="122">
        <f t="shared" ref="AL13:AL26" si="3">S13-AK13</f>
        <v>0</v>
      </c>
    </row>
    <row r="14" spans="1:38" s="82" customFormat="1" ht="24.9" hidden="1" customHeight="1" x14ac:dyDescent="0.3">
      <c r="A14" s="82">
        <v>13</v>
      </c>
      <c r="B14" s="82" t="s">
        <v>10</v>
      </c>
      <c r="C14" s="82" t="s">
        <v>10</v>
      </c>
      <c r="D14" s="102" t="s">
        <v>1238</v>
      </c>
      <c r="E14" s="102"/>
      <c r="F14" s="102" t="s">
        <v>990</v>
      </c>
      <c r="G14" s="83">
        <v>101</v>
      </c>
      <c r="H14" s="84">
        <v>42881</v>
      </c>
      <c r="I14" s="84">
        <v>46112</v>
      </c>
      <c r="J14" s="84">
        <v>45931</v>
      </c>
      <c r="K14" s="84">
        <v>46022</v>
      </c>
      <c r="L14" s="94" t="s">
        <v>295</v>
      </c>
      <c r="M14" s="86" t="s">
        <v>475</v>
      </c>
      <c r="N14" s="82" t="s">
        <v>1</v>
      </c>
      <c r="O14" s="87">
        <v>46065</v>
      </c>
      <c r="P14" s="82" t="s">
        <v>2</v>
      </c>
      <c r="Q14" s="82" t="s">
        <v>168</v>
      </c>
      <c r="R14" s="122"/>
      <c r="S14" s="99">
        <v>356000</v>
      </c>
      <c r="T14" s="122">
        <v>365750</v>
      </c>
      <c r="U14" s="82" t="s">
        <v>8</v>
      </c>
      <c r="W14" s="102"/>
      <c r="X14" s="122"/>
      <c r="Y14" s="122"/>
      <c r="Z14" s="122"/>
      <c r="AA14" s="122"/>
      <c r="AB14" s="122"/>
      <c r="AC14" s="122">
        <v>356000</v>
      </c>
      <c r="AD14" s="122"/>
      <c r="AE14" s="122"/>
      <c r="AF14" s="122"/>
      <c r="AG14" s="122"/>
      <c r="AH14" s="122"/>
      <c r="AI14" s="122"/>
      <c r="AJ14" s="122"/>
      <c r="AK14" s="122">
        <f t="shared" si="2"/>
        <v>356000</v>
      </c>
      <c r="AL14" s="122">
        <f t="shared" si="3"/>
        <v>0</v>
      </c>
    </row>
    <row r="15" spans="1:38" s="82" customFormat="1" ht="24.9" hidden="1" customHeight="1" x14ac:dyDescent="0.3">
      <c r="A15" s="82">
        <v>14</v>
      </c>
      <c r="B15" s="82" t="s">
        <v>1236</v>
      </c>
      <c r="C15" s="82" t="s">
        <v>1236</v>
      </c>
      <c r="D15" s="102" t="s">
        <v>1237</v>
      </c>
      <c r="E15" s="102" t="s">
        <v>951</v>
      </c>
      <c r="F15" s="231" t="s">
        <v>472</v>
      </c>
      <c r="G15" s="83">
        <v>100</v>
      </c>
      <c r="H15" s="84">
        <v>44967</v>
      </c>
      <c r="I15" s="84">
        <v>46022</v>
      </c>
      <c r="J15" s="84">
        <v>45839</v>
      </c>
      <c r="K15" s="84">
        <v>45930</v>
      </c>
      <c r="L15" s="83" t="s">
        <v>295</v>
      </c>
      <c r="M15" s="102" t="s">
        <v>470</v>
      </c>
      <c r="N15" s="82" t="s">
        <v>1</v>
      </c>
      <c r="O15" s="87">
        <v>46064</v>
      </c>
      <c r="P15" s="82" t="s">
        <v>92</v>
      </c>
      <c r="R15" s="122"/>
      <c r="S15" s="99">
        <v>23.69</v>
      </c>
      <c r="T15" s="122">
        <v>23.69</v>
      </c>
      <c r="U15" s="82" t="s">
        <v>8</v>
      </c>
      <c r="W15" s="102"/>
      <c r="X15" s="122"/>
      <c r="Y15" s="122"/>
      <c r="Z15" s="122"/>
      <c r="AA15" s="122"/>
      <c r="AB15" s="122"/>
      <c r="AC15" s="122"/>
      <c r="AD15" s="122"/>
      <c r="AE15" s="122">
        <v>23.69</v>
      </c>
      <c r="AF15" s="122"/>
      <c r="AG15" s="122"/>
      <c r="AH15" s="122"/>
      <c r="AI15" s="122"/>
      <c r="AJ15" s="122"/>
      <c r="AK15" s="122">
        <f t="shared" si="2"/>
        <v>23.69</v>
      </c>
      <c r="AL15" s="122">
        <f t="shared" si="3"/>
        <v>0</v>
      </c>
    </row>
    <row r="16" spans="1:38" s="82" customFormat="1" ht="24.9" hidden="1" customHeight="1" x14ac:dyDescent="0.3">
      <c r="A16" s="82">
        <v>15</v>
      </c>
      <c r="B16" s="82" t="s">
        <v>1236</v>
      </c>
      <c r="C16" s="82" t="s">
        <v>1236</v>
      </c>
      <c r="D16" s="102" t="s">
        <v>1237</v>
      </c>
      <c r="E16" s="102" t="s">
        <v>951</v>
      </c>
      <c r="F16" s="231" t="s">
        <v>472</v>
      </c>
      <c r="G16" s="83">
        <v>100</v>
      </c>
      <c r="H16" s="84">
        <v>44967</v>
      </c>
      <c r="I16" s="84">
        <v>46022</v>
      </c>
      <c r="J16" s="84">
        <v>45839</v>
      </c>
      <c r="K16" s="84">
        <v>45930</v>
      </c>
      <c r="L16" s="83" t="s">
        <v>295</v>
      </c>
      <c r="M16" s="102" t="s">
        <v>470</v>
      </c>
      <c r="N16" s="82" t="s">
        <v>1</v>
      </c>
      <c r="O16" s="87">
        <v>46064</v>
      </c>
      <c r="P16" s="82" t="s">
        <v>92</v>
      </c>
      <c r="R16" s="122"/>
      <c r="S16" s="99">
        <v>18792.91</v>
      </c>
      <c r="T16" s="122">
        <v>18792.91</v>
      </c>
      <c r="U16" s="82" t="s">
        <v>8</v>
      </c>
      <c r="W16" s="102"/>
      <c r="X16" s="122"/>
      <c r="Y16" s="122"/>
      <c r="Z16" s="122"/>
      <c r="AA16" s="122"/>
      <c r="AB16" s="122"/>
      <c r="AC16" s="122">
        <v>18792.91</v>
      </c>
      <c r="AD16" s="122"/>
      <c r="AE16" s="122"/>
      <c r="AF16" s="122"/>
      <c r="AG16" s="122"/>
      <c r="AH16" s="122"/>
      <c r="AI16" s="122"/>
      <c r="AJ16" s="122"/>
      <c r="AK16" s="122">
        <f t="shared" si="2"/>
        <v>18792.91</v>
      </c>
      <c r="AL16" s="122">
        <f t="shared" si="3"/>
        <v>0</v>
      </c>
    </row>
    <row r="17" spans="1:38" s="82" customFormat="1" ht="24.9" hidden="1" customHeight="1" x14ac:dyDescent="0.3">
      <c r="A17" s="82">
        <v>16</v>
      </c>
      <c r="B17" s="82" t="s">
        <v>1236</v>
      </c>
      <c r="C17" s="82" t="s">
        <v>1236</v>
      </c>
      <c r="D17" s="102" t="s">
        <v>1237</v>
      </c>
      <c r="E17" s="102" t="s">
        <v>951</v>
      </c>
      <c r="F17" s="231" t="s">
        <v>472</v>
      </c>
      <c r="G17" s="83">
        <v>100</v>
      </c>
      <c r="H17" s="84">
        <v>44967</v>
      </c>
      <c r="I17" s="84">
        <v>46022</v>
      </c>
      <c r="J17" s="84">
        <v>45839</v>
      </c>
      <c r="K17" s="84">
        <v>45930</v>
      </c>
      <c r="L17" s="83" t="s">
        <v>295</v>
      </c>
      <c r="M17" s="102" t="s">
        <v>470</v>
      </c>
      <c r="N17" s="82" t="s">
        <v>1</v>
      </c>
      <c r="O17" s="87">
        <v>46064</v>
      </c>
      <c r="P17" s="82" t="s">
        <v>92</v>
      </c>
      <c r="R17" s="122"/>
      <c r="S17" s="99">
        <v>254.9</v>
      </c>
      <c r="T17" s="122">
        <v>254.9</v>
      </c>
      <c r="U17" s="82" t="s">
        <v>8</v>
      </c>
      <c r="W17" s="102"/>
      <c r="X17" s="122"/>
      <c r="Y17" s="122"/>
      <c r="Z17" s="122"/>
      <c r="AA17" s="122"/>
      <c r="AB17" s="122"/>
      <c r="AC17" s="122"/>
      <c r="AD17" s="122"/>
      <c r="AE17" s="122"/>
      <c r="AF17" s="122"/>
      <c r="AG17" s="122">
        <v>254.9</v>
      </c>
      <c r="AH17" s="122"/>
      <c r="AI17" s="122"/>
      <c r="AJ17" s="122"/>
      <c r="AK17" s="122">
        <f t="shared" si="2"/>
        <v>254.9</v>
      </c>
      <c r="AL17" s="122">
        <f t="shared" si="3"/>
        <v>0</v>
      </c>
    </row>
    <row r="18" spans="1:38" s="82" customFormat="1" ht="24.9" hidden="1" customHeight="1" x14ac:dyDescent="0.3">
      <c r="A18" s="82">
        <v>18</v>
      </c>
      <c r="B18" s="82" t="s">
        <v>1236</v>
      </c>
      <c r="C18" s="82" t="s">
        <v>1236</v>
      </c>
      <c r="D18" s="102" t="s">
        <v>1237</v>
      </c>
      <c r="E18" s="102" t="s">
        <v>951</v>
      </c>
      <c r="F18" s="231" t="s">
        <v>472</v>
      </c>
      <c r="G18" s="83">
        <v>100</v>
      </c>
      <c r="H18" s="84">
        <v>44967</v>
      </c>
      <c r="I18" s="84">
        <v>46022</v>
      </c>
      <c r="J18" s="84">
        <v>45839</v>
      </c>
      <c r="K18" s="84">
        <v>45930</v>
      </c>
      <c r="L18" s="83" t="s">
        <v>295</v>
      </c>
      <c r="M18" s="102" t="s">
        <v>470</v>
      </c>
      <c r="N18" s="82" t="s">
        <v>1</v>
      </c>
      <c r="O18" s="87">
        <v>46064</v>
      </c>
      <c r="P18" s="82" t="s">
        <v>92</v>
      </c>
      <c r="R18" s="122"/>
      <c r="S18" s="99">
        <v>20299.849999999999</v>
      </c>
      <c r="T18" s="122">
        <v>20299.849999999999</v>
      </c>
      <c r="U18" s="82" t="s">
        <v>8</v>
      </c>
      <c r="W18" s="102"/>
      <c r="X18" s="122">
        <v>1228.3499999999999</v>
      </c>
      <c r="Y18" s="122"/>
      <c r="Z18" s="122"/>
      <c r="AA18" s="122"/>
      <c r="AB18" s="122"/>
      <c r="AC18" s="122">
        <v>18792.91</v>
      </c>
      <c r="AD18" s="122"/>
      <c r="AE18" s="122">
        <v>23.69</v>
      </c>
      <c r="AF18" s="122"/>
      <c r="AG18" s="122">
        <v>254.9</v>
      </c>
      <c r="AH18" s="122"/>
      <c r="AI18" s="122"/>
      <c r="AJ18" s="122"/>
      <c r="AK18" s="122">
        <f t="shared" si="2"/>
        <v>20299.849999999999</v>
      </c>
      <c r="AL18" s="122">
        <f t="shared" si="3"/>
        <v>0</v>
      </c>
    </row>
    <row r="19" spans="1:38" s="82" customFormat="1" ht="24.9" hidden="1" customHeight="1" x14ac:dyDescent="0.3">
      <c r="A19" s="82">
        <v>19</v>
      </c>
      <c r="B19" s="82" t="s">
        <v>117</v>
      </c>
      <c r="C19" s="82" t="s">
        <v>117</v>
      </c>
      <c r="D19" s="426" t="s">
        <v>1247</v>
      </c>
      <c r="E19" s="102"/>
      <c r="F19" s="93" t="s">
        <v>1247</v>
      </c>
      <c r="G19" s="84">
        <v>45961</v>
      </c>
      <c r="H19" s="84">
        <v>45597</v>
      </c>
      <c r="I19" s="84">
        <v>45961</v>
      </c>
      <c r="J19" s="84">
        <v>45962</v>
      </c>
      <c r="K19" s="84">
        <v>46053</v>
      </c>
      <c r="L19" s="83" t="s">
        <v>295</v>
      </c>
      <c r="M19" s="106" t="s">
        <v>784</v>
      </c>
      <c r="N19" s="82" t="s">
        <v>1</v>
      </c>
      <c r="O19" s="87">
        <v>46073</v>
      </c>
      <c r="P19" s="82" t="s">
        <v>92</v>
      </c>
      <c r="R19" s="122"/>
      <c r="S19" s="99">
        <v>5712.3</v>
      </c>
      <c r="T19" s="122">
        <v>5712.3</v>
      </c>
      <c r="U19" s="82" t="s">
        <v>8</v>
      </c>
      <c r="W19" s="102"/>
      <c r="X19" s="122"/>
      <c r="Y19" s="122"/>
      <c r="Z19" s="122"/>
      <c r="AA19" s="122">
        <v>42.3</v>
      </c>
      <c r="AB19" s="122"/>
      <c r="AC19" s="122">
        <v>2337.6</v>
      </c>
      <c r="AD19" s="122">
        <v>769.2</v>
      </c>
      <c r="AE19" s="122">
        <v>174.3</v>
      </c>
      <c r="AF19" s="122"/>
      <c r="AG19" s="122">
        <v>1777.8</v>
      </c>
      <c r="AH19" s="122">
        <v>183.9</v>
      </c>
      <c r="AI19" s="122">
        <v>427.2</v>
      </c>
      <c r="AJ19" s="122"/>
      <c r="AK19" s="122">
        <f t="shared" si="2"/>
        <v>5712.3</v>
      </c>
      <c r="AL19" s="122">
        <f t="shared" si="3"/>
        <v>0</v>
      </c>
    </row>
    <row r="20" spans="1:38" s="126" customFormat="1" ht="55.2" x14ac:dyDescent="0.3">
      <c r="A20" s="126">
        <v>20</v>
      </c>
      <c r="B20" s="126" t="s">
        <v>0</v>
      </c>
      <c r="C20" s="126" t="s">
        <v>0</v>
      </c>
      <c r="D20" s="136" t="s">
        <v>1265</v>
      </c>
      <c r="E20" s="102"/>
      <c r="F20" s="438"/>
      <c r="H20" s="272"/>
      <c r="I20" s="272"/>
      <c r="J20" s="273">
        <v>45931</v>
      </c>
      <c r="K20" s="273">
        <v>46022</v>
      </c>
      <c r="L20" s="273" t="s">
        <v>295</v>
      </c>
      <c r="M20" s="274"/>
      <c r="N20" s="126" t="s">
        <v>1</v>
      </c>
      <c r="O20" s="272">
        <v>46073</v>
      </c>
      <c r="P20" s="126" t="s">
        <v>2</v>
      </c>
      <c r="R20" s="276"/>
      <c r="S20" s="276">
        <v>171662.04</v>
      </c>
      <c r="T20" s="276">
        <v>171662.04</v>
      </c>
      <c r="U20" s="126" t="s">
        <v>16</v>
      </c>
      <c r="W20" s="136"/>
      <c r="X20" s="276"/>
      <c r="Y20" s="276"/>
      <c r="Z20" s="276"/>
      <c r="AA20" s="276">
        <v>636.03</v>
      </c>
      <c r="AB20" s="276"/>
      <c r="AC20" s="276">
        <v>75205.740000000005</v>
      </c>
      <c r="AD20" s="276">
        <v>72058.649999999994</v>
      </c>
      <c r="AE20" s="276">
        <v>5467.53</v>
      </c>
      <c r="AF20" s="276"/>
      <c r="AG20" s="276"/>
      <c r="AH20" s="276"/>
      <c r="AI20" s="276">
        <v>18294.09</v>
      </c>
      <c r="AJ20" s="276"/>
      <c r="AK20" s="276">
        <f t="shared" ref="AK20" si="4">SUM(X20:AJ20)</f>
        <v>171662.03999999998</v>
      </c>
      <c r="AL20" s="276">
        <f t="shared" ref="AL20" si="5">S20-AK20</f>
        <v>0</v>
      </c>
    </row>
    <row r="21" spans="1:38" s="126" customFormat="1" ht="24.9" customHeight="1" x14ac:dyDescent="0.3">
      <c r="A21" s="126">
        <v>21</v>
      </c>
      <c r="B21" s="126" t="s">
        <v>0</v>
      </c>
      <c r="C21" s="126" t="s">
        <v>0</v>
      </c>
      <c r="D21" s="136" t="s">
        <v>1239</v>
      </c>
      <c r="E21" s="102"/>
      <c r="F21" s="438"/>
      <c r="H21" s="272"/>
      <c r="I21" s="272"/>
      <c r="J21" s="272">
        <v>45566</v>
      </c>
      <c r="K21" s="272">
        <v>45930</v>
      </c>
      <c r="L21" s="126" t="s">
        <v>289</v>
      </c>
      <c r="M21" s="136"/>
      <c r="N21" s="126" t="s">
        <v>1</v>
      </c>
      <c r="O21" s="272">
        <v>46073</v>
      </c>
      <c r="P21" s="126" t="s">
        <v>2</v>
      </c>
      <c r="R21" s="276"/>
      <c r="S21" s="276">
        <v>175460.57</v>
      </c>
      <c r="T21" s="276">
        <v>175460.57</v>
      </c>
      <c r="U21" s="126" t="s">
        <v>8</v>
      </c>
      <c r="W21" s="136"/>
      <c r="X21" s="276"/>
      <c r="Y21" s="276"/>
      <c r="Z21" s="276"/>
      <c r="AA21" s="276">
        <v>1039.6199999999999</v>
      </c>
      <c r="AB21" s="276"/>
      <c r="AC21" s="276">
        <v>68774.06</v>
      </c>
      <c r="AD21" s="276">
        <v>73438.34</v>
      </c>
      <c r="AE21" s="276">
        <v>7012.13</v>
      </c>
      <c r="AF21" s="276"/>
      <c r="AG21" s="276"/>
      <c r="AH21" s="276"/>
      <c r="AI21" s="276">
        <v>25196.42</v>
      </c>
      <c r="AJ21" s="276"/>
      <c r="AK21" s="276">
        <f t="shared" si="2"/>
        <v>175460.57</v>
      </c>
      <c r="AL21" s="276">
        <f t="shared" si="3"/>
        <v>0</v>
      </c>
    </row>
    <row r="22" spans="1:38" s="82" customFormat="1" ht="24.9" hidden="1" customHeight="1" x14ac:dyDescent="0.3">
      <c r="A22" s="82">
        <v>22</v>
      </c>
      <c r="B22" s="82" t="s">
        <v>237</v>
      </c>
      <c r="C22" s="82" t="s">
        <v>237</v>
      </c>
      <c r="D22" s="82" t="s">
        <v>1240</v>
      </c>
      <c r="E22" s="102" t="s">
        <v>975</v>
      </c>
      <c r="F22" s="102" t="s">
        <v>975</v>
      </c>
      <c r="G22" s="83">
        <v>529</v>
      </c>
      <c r="H22" s="84">
        <v>44743</v>
      </c>
      <c r="I22" s="84">
        <v>46022</v>
      </c>
      <c r="J22" s="85">
        <v>46023</v>
      </c>
      <c r="K22" s="85">
        <v>46053</v>
      </c>
      <c r="L22" s="85" t="s">
        <v>337</v>
      </c>
      <c r="M22" s="86" t="s">
        <v>793</v>
      </c>
      <c r="N22" s="82" t="s">
        <v>1</v>
      </c>
      <c r="O22" s="87">
        <v>46076</v>
      </c>
      <c r="P22" s="82" t="s">
        <v>92</v>
      </c>
      <c r="R22" s="122"/>
      <c r="S22" s="123">
        <v>173.59</v>
      </c>
      <c r="T22" s="122">
        <v>173.59</v>
      </c>
      <c r="U22" s="82" t="s">
        <v>8</v>
      </c>
      <c r="W22" s="102"/>
      <c r="X22" s="122"/>
      <c r="Y22" s="122">
        <v>3.06</v>
      </c>
      <c r="Z22" s="122">
        <v>5.86</v>
      </c>
      <c r="AA22" s="122">
        <v>17.559999999999999</v>
      </c>
      <c r="AB22" s="122">
        <v>1.45</v>
      </c>
      <c r="AC22" s="122">
        <v>60.16</v>
      </c>
      <c r="AD22" s="122">
        <v>34.69</v>
      </c>
      <c r="AE22" s="122">
        <v>9.16</v>
      </c>
      <c r="AF22" s="122">
        <v>0.76</v>
      </c>
      <c r="AG22" s="122">
        <v>17.829999999999998</v>
      </c>
      <c r="AH22" s="122"/>
      <c r="AI22" s="122">
        <v>20.39</v>
      </c>
      <c r="AJ22" s="122">
        <v>2.67</v>
      </c>
      <c r="AK22" s="122">
        <f t="shared" si="2"/>
        <v>173.58999999999995</v>
      </c>
      <c r="AL22" s="122">
        <f t="shared" si="3"/>
        <v>0</v>
      </c>
    </row>
    <row r="23" spans="1:38" s="82" customFormat="1" ht="24.9" hidden="1" customHeight="1" x14ac:dyDescent="0.3">
      <c r="A23" s="82">
        <v>23</v>
      </c>
      <c r="B23" s="82" t="s">
        <v>107</v>
      </c>
      <c r="C23" s="82" t="s">
        <v>107</v>
      </c>
      <c r="D23" s="82" t="s">
        <v>1242</v>
      </c>
      <c r="E23" s="102"/>
      <c r="F23" s="102"/>
      <c r="G23" s="83"/>
      <c r="H23" s="84"/>
      <c r="I23" s="84"/>
      <c r="J23" s="85">
        <v>45931</v>
      </c>
      <c r="K23" s="85">
        <v>46022</v>
      </c>
      <c r="L23" s="83" t="s">
        <v>1246</v>
      </c>
      <c r="M23" s="86"/>
      <c r="N23" s="82" t="s">
        <v>1</v>
      </c>
      <c r="O23" s="87">
        <v>46078</v>
      </c>
      <c r="P23" s="82" t="s">
        <v>275</v>
      </c>
      <c r="R23" s="122"/>
      <c r="S23" s="122"/>
      <c r="T23" s="122">
        <v>2000000</v>
      </c>
      <c r="U23" s="82" t="s">
        <v>8</v>
      </c>
      <c r="W23" s="102"/>
      <c r="X23" s="122"/>
      <c r="Y23" s="122"/>
      <c r="Z23" s="122"/>
      <c r="AA23" s="122"/>
      <c r="AB23" s="122"/>
      <c r="AC23" s="122"/>
      <c r="AD23" s="122"/>
      <c r="AE23" s="122"/>
      <c r="AF23" s="122"/>
      <c r="AG23" s="122"/>
      <c r="AH23" s="122"/>
      <c r="AI23" s="122"/>
      <c r="AJ23" s="122"/>
      <c r="AK23" s="122">
        <f t="shared" si="2"/>
        <v>0</v>
      </c>
      <c r="AL23" s="122">
        <f t="shared" si="3"/>
        <v>0</v>
      </c>
    </row>
    <row r="24" spans="1:38" s="82" customFormat="1" ht="24.9" hidden="1" customHeight="1" x14ac:dyDescent="0.3">
      <c r="A24" s="82">
        <v>24</v>
      </c>
      <c r="B24" s="82" t="s">
        <v>107</v>
      </c>
      <c r="C24" s="82" t="s">
        <v>107</v>
      </c>
      <c r="D24" s="82" t="s">
        <v>1243</v>
      </c>
      <c r="E24" s="102"/>
      <c r="F24" s="102"/>
      <c r="G24" s="83"/>
      <c r="H24" s="84"/>
      <c r="I24" s="84"/>
      <c r="J24" s="85">
        <v>45931</v>
      </c>
      <c r="K24" s="85">
        <v>46022</v>
      </c>
      <c r="L24" s="83" t="s">
        <v>1246</v>
      </c>
      <c r="M24" s="86"/>
      <c r="N24" s="82" t="s">
        <v>1</v>
      </c>
      <c r="O24" s="87">
        <v>46078</v>
      </c>
      <c r="P24" s="82" t="s">
        <v>275</v>
      </c>
      <c r="R24" s="122"/>
      <c r="S24" s="99">
        <v>70663.55</v>
      </c>
      <c r="T24" s="122">
        <v>2155437.59</v>
      </c>
      <c r="U24" s="82" t="s">
        <v>8</v>
      </c>
      <c r="W24" s="102"/>
      <c r="X24" s="122"/>
      <c r="Y24" s="122">
        <v>156.43</v>
      </c>
      <c r="Z24" s="122"/>
      <c r="AA24" s="122">
        <v>793.18</v>
      </c>
      <c r="AB24" s="122">
        <v>802.27</v>
      </c>
      <c r="AC24" s="122">
        <v>39280.42</v>
      </c>
      <c r="AD24" s="122">
        <v>4335.3999999999996</v>
      </c>
      <c r="AE24" s="122">
        <v>3232.75</v>
      </c>
      <c r="AF24" s="122">
        <v>1766.8</v>
      </c>
      <c r="AG24" s="122">
        <v>9055.9699999999993</v>
      </c>
      <c r="AH24" s="122">
        <v>1799.16</v>
      </c>
      <c r="AI24" s="122">
        <v>9045.1299999999992</v>
      </c>
      <c r="AJ24" s="122">
        <v>396.04</v>
      </c>
      <c r="AK24" s="122">
        <f t="shared" si="2"/>
        <v>70663.55</v>
      </c>
      <c r="AL24" s="122">
        <f t="shared" si="3"/>
        <v>0</v>
      </c>
    </row>
    <row r="25" spans="1:38" s="82" customFormat="1" ht="24.9" hidden="1" customHeight="1" x14ac:dyDescent="0.3">
      <c r="A25" s="82">
        <v>25</v>
      </c>
      <c r="B25" s="82" t="s">
        <v>107</v>
      </c>
      <c r="C25" s="82" t="s">
        <v>107</v>
      </c>
      <c r="D25" s="82" t="s">
        <v>1244</v>
      </c>
      <c r="E25" s="102"/>
      <c r="F25" s="231" t="s">
        <v>503</v>
      </c>
      <c r="G25" s="83">
        <v>193</v>
      </c>
      <c r="H25" s="84">
        <v>44699</v>
      </c>
      <c r="I25" s="84">
        <v>46524</v>
      </c>
      <c r="J25" s="85">
        <v>45931</v>
      </c>
      <c r="K25" s="85">
        <v>46022</v>
      </c>
      <c r="L25" s="83" t="s">
        <v>295</v>
      </c>
      <c r="M25" s="86" t="s">
        <v>502</v>
      </c>
      <c r="N25" s="82" t="s">
        <v>1</v>
      </c>
      <c r="O25" s="87">
        <v>46078</v>
      </c>
      <c r="P25" s="82" t="s">
        <v>275</v>
      </c>
      <c r="R25" s="122"/>
      <c r="S25" s="99">
        <v>13164.04</v>
      </c>
      <c r="T25" s="122">
        <v>2155437.59</v>
      </c>
      <c r="U25" s="82" t="s">
        <v>8</v>
      </c>
      <c r="W25" s="102"/>
      <c r="X25" s="122">
        <v>-6723.36</v>
      </c>
      <c r="Y25" s="122">
        <v>2170.4499999999998</v>
      </c>
      <c r="Z25" s="122">
        <v>115.31</v>
      </c>
      <c r="AA25" s="122">
        <v>4542.5200000000004</v>
      </c>
      <c r="AB25" s="122">
        <v>4873.17</v>
      </c>
      <c r="AC25" s="122">
        <v>-8581.3799999999992</v>
      </c>
      <c r="AD25" s="122">
        <v>7286.85</v>
      </c>
      <c r="AE25" s="122">
        <v>2070.06</v>
      </c>
      <c r="AF25" s="122">
        <v>25.69</v>
      </c>
      <c r="AG25" s="122">
        <v>8882.5300000000007</v>
      </c>
      <c r="AH25" s="122">
        <v>-87.49</v>
      </c>
      <c r="AI25" s="122">
        <v>-721.54</v>
      </c>
      <c r="AJ25" s="122">
        <v>-688.77</v>
      </c>
      <c r="AK25" s="122">
        <f t="shared" si="2"/>
        <v>13164.040000000005</v>
      </c>
      <c r="AL25" s="122">
        <f t="shared" si="3"/>
        <v>0</v>
      </c>
    </row>
    <row r="26" spans="1:38" s="82" customFormat="1" ht="24.9" hidden="1" customHeight="1" x14ac:dyDescent="0.3">
      <c r="A26" s="82">
        <v>26</v>
      </c>
      <c r="B26" s="82" t="s">
        <v>107</v>
      </c>
      <c r="C26" s="82" t="s">
        <v>107</v>
      </c>
      <c r="D26" s="82" t="s">
        <v>1245</v>
      </c>
      <c r="E26" s="102"/>
      <c r="F26" s="102"/>
      <c r="G26" s="83">
        <v>113</v>
      </c>
      <c r="H26" s="84">
        <v>44699</v>
      </c>
      <c r="I26" s="84">
        <v>46524</v>
      </c>
      <c r="J26" s="85">
        <v>45931</v>
      </c>
      <c r="K26" s="85">
        <v>46022</v>
      </c>
      <c r="L26" s="83" t="s">
        <v>295</v>
      </c>
      <c r="M26" s="86" t="s">
        <v>502</v>
      </c>
      <c r="N26" s="82" t="s">
        <v>1</v>
      </c>
      <c r="O26" s="87">
        <v>46078</v>
      </c>
      <c r="P26" s="82" t="s">
        <v>275</v>
      </c>
      <c r="R26" s="122"/>
      <c r="S26" s="99">
        <v>71610</v>
      </c>
      <c r="T26" s="122">
        <v>2155437.59</v>
      </c>
      <c r="U26" s="82" t="s">
        <v>8</v>
      </c>
      <c r="W26" s="102"/>
      <c r="X26" s="122"/>
      <c r="Y26" s="122"/>
      <c r="Z26" s="122"/>
      <c r="AA26" s="122"/>
      <c r="AB26" s="122"/>
      <c r="AC26" s="122">
        <v>71610</v>
      </c>
      <c r="AD26" s="122"/>
      <c r="AE26" s="122"/>
      <c r="AF26" s="122"/>
      <c r="AG26" s="122"/>
      <c r="AH26" s="122"/>
      <c r="AI26" s="122"/>
      <c r="AJ26" s="122"/>
      <c r="AK26" s="122">
        <f t="shared" si="2"/>
        <v>71610</v>
      </c>
      <c r="AL26" s="122">
        <f t="shared" si="3"/>
        <v>0</v>
      </c>
    </row>
    <row r="27" spans="1:38" s="82" customFormat="1" ht="24.9" hidden="1" customHeight="1" x14ac:dyDescent="0.3">
      <c r="A27" s="82">
        <v>27</v>
      </c>
      <c r="B27" s="82" t="s">
        <v>108</v>
      </c>
      <c r="C27" s="82" t="s">
        <v>108</v>
      </c>
      <c r="D27" s="102" t="s">
        <v>1248</v>
      </c>
      <c r="E27" s="102"/>
      <c r="F27" s="231"/>
      <c r="G27" s="427">
        <v>68</v>
      </c>
      <c r="H27" s="428">
        <v>44927</v>
      </c>
      <c r="I27" s="428">
        <v>46022</v>
      </c>
      <c r="J27" s="85">
        <v>45839</v>
      </c>
      <c r="K27" s="85">
        <v>46022</v>
      </c>
      <c r="L27" s="85" t="s">
        <v>872</v>
      </c>
      <c r="M27" s="429" t="s">
        <v>407</v>
      </c>
      <c r="N27" s="82" t="s">
        <v>1</v>
      </c>
      <c r="O27" s="87">
        <v>46080</v>
      </c>
      <c r="P27" s="82" t="s">
        <v>275</v>
      </c>
      <c r="R27" s="122"/>
      <c r="S27" s="99">
        <v>217000.3</v>
      </c>
      <c r="T27" s="122">
        <v>217000</v>
      </c>
      <c r="U27" s="82" t="s">
        <v>8</v>
      </c>
      <c r="W27" s="102"/>
      <c r="X27" s="122">
        <v>527.54</v>
      </c>
      <c r="Y27" s="122">
        <v>3167.78</v>
      </c>
      <c r="Z27" s="122"/>
      <c r="AA27" s="122">
        <v>8185.94</v>
      </c>
      <c r="AB27" s="122">
        <v>3308.54</v>
      </c>
      <c r="AC27" s="122">
        <v>114191.01</v>
      </c>
      <c r="AD27" s="122">
        <v>23098.65</v>
      </c>
      <c r="AE27" s="122">
        <v>12808.12</v>
      </c>
      <c r="AF27" s="122"/>
      <c r="AG27" s="122">
        <v>20358.490000000002</v>
      </c>
      <c r="AH27" s="122">
        <v>794.05</v>
      </c>
      <c r="AI27" s="122">
        <v>29544.25</v>
      </c>
      <c r="AJ27" s="122">
        <v>1015.93</v>
      </c>
      <c r="AK27" s="122">
        <f t="shared" ref="AK27:AK28" si="6">SUM(X27:AJ27)</f>
        <v>217000.29999999996</v>
      </c>
      <c r="AL27" s="122">
        <f t="shared" ref="AL27:AL28" si="7">S27-AK27</f>
        <v>0</v>
      </c>
    </row>
    <row r="28" spans="1:38" s="82" customFormat="1" ht="24.9" hidden="1" customHeight="1" x14ac:dyDescent="0.3">
      <c r="A28" s="82">
        <v>28</v>
      </c>
      <c r="B28" s="82" t="s">
        <v>107</v>
      </c>
      <c r="C28" s="82" t="s">
        <v>107</v>
      </c>
      <c r="D28" s="82" t="s">
        <v>1249</v>
      </c>
      <c r="E28" s="102"/>
      <c r="F28" s="231" t="s">
        <v>503</v>
      </c>
      <c r="G28" s="83"/>
      <c r="H28" s="84"/>
      <c r="I28" s="84"/>
      <c r="J28" s="85">
        <v>45931</v>
      </c>
      <c r="K28" s="85">
        <v>46022</v>
      </c>
      <c r="L28" s="83" t="s">
        <v>295</v>
      </c>
      <c r="M28" s="86"/>
      <c r="N28" s="82" t="s">
        <v>1</v>
      </c>
      <c r="O28" s="87">
        <v>46084</v>
      </c>
      <c r="P28" s="82" t="s">
        <v>275</v>
      </c>
      <c r="R28" s="122"/>
      <c r="S28" s="99">
        <v>112000.23</v>
      </c>
      <c r="T28" s="122">
        <v>112000.23</v>
      </c>
      <c r="U28" s="82" t="s">
        <v>16</v>
      </c>
      <c r="W28" s="102"/>
      <c r="X28" s="122"/>
      <c r="Y28" s="122">
        <v>510.79</v>
      </c>
      <c r="Z28" s="122"/>
      <c r="AA28" s="122">
        <v>1320.99</v>
      </c>
      <c r="AB28" s="122">
        <v>1126.06</v>
      </c>
      <c r="AC28" s="122">
        <v>63712.42</v>
      </c>
      <c r="AD28" s="122">
        <v>7121.8</v>
      </c>
      <c r="AE28" s="122">
        <v>5187.72</v>
      </c>
      <c r="AF28" s="122">
        <v>2746.75</v>
      </c>
      <c r="AG28" s="122">
        <v>13700.07</v>
      </c>
      <c r="AH28" s="122">
        <v>2446.02</v>
      </c>
      <c r="AI28" s="122">
        <v>13521.48</v>
      </c>
      <c r="AJ28" s="122">
        <v>606.13</v>
      </c>
      <c r="AK28" s="122">
        <f t="shared" si="6"/>
        <v>112000.23000000001</v>
      </c>
      <c r="AL28" s="122">
        <f t="shared" si="7"/>
        <v>0</v>
      </c>
    </row>
    <row r="29" spans="1:38" s="82" customFormat="1" ht="24.9" hidden="1" customHeight="1" x14ac:dyDescent="0.3">
      <c r="A29" s="82">
        <v>29</v>
      </c>
      <c r="B29" s="82" t="s">
        <v>107</v>
      </c>
      <c r="C29" s="82" t="s">
        <v>107</v>
      </c>
      <c r="D29" s="102" t="s">
        <v>1250</v>
      </c>
      <c r="E29" s="102"/>
      <c r="F29" s="231" t="s">
        <v>503</v>
      </c>
      <c r="G29" s="83"/>
      <c r="H29" s="84"/>
      <c r="I29" s="84"/>
      <c r="J29" s="85">
        <v>45931</v>
      </c>
      <c r="K29" s="85">
        <v>46022</v>
      </c>
      <c r="L29" s="83" t="s">
        <v>295</v>
      </c>
      <c r="M29" s="86"/>
      <c r="N29" s="82" t="s">
        <v>1</v>
      </c>
      <c r="O29" s="87">
        <v>46084</v>
      </c>
      <c r="P29" s="82" t="s">
        <v>275</v>
      </c>
      <c r="R29" s="122"/>
      <c r="S29" s="99">
        <v>656558.25</v>
      </c>
      <c r="T29" s="122">
        <v>656558.25</v>
      </c>
      <c r="U29" s="82" t="s">
        <v>16</v>
      </c>
      <c r="W29" s="102"/>
      <c r="X29" s="122">
        <v>2651.25</v>
      </c>
      <c r="Y29" s="122">
        <v>16282.36</v>
      </c>
      <c r="Z29" s="122">
        <v>1137.3800000000001</v>
      </c>
      <c r="AA29" s="122">
        <v>27452.23</v>
      </c>
      <c r="AB29" s="122">
        <v>21628.880000000001</v>
      </c>
      <c r="AC29" s="122">
        <v>316836.2</v>
      </c>
      <c r="AD29" s="122">
        <v>70316.490000000005</v>
      </c>
      <c r="AE29" s="122">
        <v>38256.47</v>
      </c>
      <c r="AF29" s="122">
        <v>10099.01</v>
      </c>
      <c r="AG29" s="122">
        <v>89418.34</v>
      </c>
      <c r="AH29" s="122">
        <v>8031.32</v>
      </c>
      <c r="AI29" s="122">
        <v>48704.61</v>
      </c>
      <c r="AJ29" s="122">
        <v>5743.71</v>
      </c>
      <c r="AK29" s="122">
        <f t="shared" ref="AK29:AK32" si="8">SUM(X29:AJ29)</f>
        <v>656558.24999999988</v>
      </c>
      <c r="AL29" s="122">
        <f t="shared" ref="AL29:AL32" si="9">S29-AK29</f>
        <v>0</v>
      </c>
    </row>
    <row r="30" spans="1:38" s="82" customFormat="1" ht="24.9" customHeight="1" x14ac:dyDescent="0.3">
      <c r="A30" s="82">
        <v>30</v>
      </c>
      <c r="B30" s="82" t="s">
        <v>0</v>
      </c>
      <c r="C30" s="82" t="s">
        <v>0</v>
      </c>
      <c r="D30" s="102" t="s">
        <v>1253</v>
      </c>
      <c r="E30" s="102"/>
      <c r="F30" s="231" t="s">
        <v>1254</v>
      </c>
      <c r="G30" s="83"/>
      <c r="H30" s="84"/>
      <c r="I30" s="84"/>
      <c r="J30" s="85">
        <v>45962</v>
      </c>
      <c r="K30" s="85">
        <v>46053</v>
      </c>
      <c r="L30" s="83" t="s">
        <v>295</v>
      </c>
      <c r="M30" s="86"/>
      <c r="N30" s="82" t="s">
        <v>1</v>
      </c>
      <c r="O30" s="87">
        <v>46087</v>
      </c>
      <c r="P30" s="82" t="s">
        <v>2</v>
      </c>
      <c r="Q30" s="82" t="s">
        <v>1232</v>
      </c>
      <c r="R30" s="122"/>
      <c r="S30" s="99">
        <v>11339.1</v>
      </c>
      <c r="T30" s="122">
        <v>11339.1</v>
      </c>
      <c r="U30" s="82" t="s">
        <v>16</v>
      </c>
      <c r="W30" s="102"/>
      <c r="X30" s="122"/>
      <c r="Y30" s="122"/>
      <c r="Z30" s="122"/>
      <c r="AA30" s="122"/>
      <c r="AB30" s="122"/>
      <c r="AC30" s="122">
        <v>9237</v>
      </c>
      <c r="AD30" s="122">
        <v>2102.1</v>
      </c>
      <c r="AE30" s="122"/>
      <c r="AF30" s="122"/>
      <c r="AG30" s="122"/>
      <c r="AH30" s="122"/>
      <c r="AI30" s="122"/>
      <c r="AJ30" s="122"/>
      <c r="AK30" s="122">
        <f t="shared" si="8"/>
        <v>11339.1</v>
      </c>
      <c r="AL30" s="122">
        <f t="shared" si="9"/>
        <v>0</v>
      </c>
    </row>
    <row r="31" spans="1:38" s="82" customFormat="1" ht="24.9" customHeight="1" x14ac:dyDescent="0.3">
      <c r="A31" s="82">
        <v>31</v>
      </c>
      <c r="B31" s="82" t="s">
        <v>0</v>
      </c>
      <c r="C31" s="82" t="s">
        <v>0</v>
      </c>
      <c r="D31" s="102" t="s">
        <v>1255</v>
      </c>
      <c r="E31" s="102"/>
      <c r="F31" s="231" t="s">
        <v>1256</v>
      </c>
      <c r="G31" s="83"/>
      <c r="H31" s="84"/>
      <c r="I31" s="84"/>
      <c r="J31" s="85">
        <v>45870</v>
      </c>
      <c r="K31" s="85">
        <v>46053</v>
      </c>
      <c r="L31" s="83" t="s">
        <v>872</v>
      </c>
      <c r="M31" s="86"/>
      <c r="N31" s="82" t="s">
        <v>1</v>
      </c>
      <c r="O31" s="87">
        <v>46087</v>
      </c>
      <c r="P31" s="82" t="s">
        <v>2</v>
      </c>
      <c r="R31" s="122"/>
      <c r="S31" s="99">
        <v>60600</v>
      </c>
      <c r="T31" s="122">
        <v>60600</v>
      </c>
      <c r="U31" s="82" t="s">
        <v>16</v>
      </c>
      <c r="W31" s="102"/>
      <c r="X31" s="122"/>
      <c r="Y31" s="122"/>
      <c r="Z31" s="122"/>
      <c r="AA31" s="122"/>
      <c r="AB31" s="122"/>
      <c r="AC31" s="122">
        <v>42800</v>
      </c>
      <c r="AD31" s="122">
        <v>8600</v>
      </c>
      <c r="AE31" s="122">
        <v>1400</v>
      </c>
      <c r="AF31" s="122"/>
      <c r="AG31" s="122"/>
      <c r="AH31" s="122"/>
      <c r="AI31" s="122">
        <v>7800</v>
      </c>
      <c r="AJ31" s="122"/>
      <c r="AK31" s="122">
        <f t="shared" si="8"/>
        <v>60600</v>
      </c>
      <c r="AL31" s="122">
        <f t="shared" si="9"/>
        <v>0</v>
      </c>
    </row>
    <row r="32" spans="1:38" s="126" customFormat="1" ht="24.9" hidden="1" customHeight="1" x14ac:dyDescent="0.3">
      <c r="A32" s="126">
        <v>33</v>
      </c>
      <c r="B32" s="126" t="s">
        <v>107</v>
      </c>
      <c r="C32" s="126" t="s">
        <v>107</v>
      </c>
      <c r="D32" s="437" t="s">
        <v>1262</v>
      </c>
      <c r="E32" s="136"/>
      <c r="F32" s="436" t="s">
        <v>1263</v>
      </c>
      <c r="H32" s="272"/>
      <c r="I32" s="272"/>
      <c r="J32" s="273"/>
      <c r="K32" s="273"/>
      <c r="M32" s="274"/>
      <c r="O32" s="272">
        <v>46091</v>
      </c>
      <c r="P32" s="126" t="s">
        <v>275</v>
      </c>
      <c r="R32" s="276"/>
      <c r="S32" s="276"/>
      <c r="T32" s="276">
        <v>359304</v>
      </c>
      <c r="W32" s="136"/>
      <c r="X32" s="276"/>
      <c r="Y32" s="276"/>
      <c r="Z32" s="276"/>
      <c r="AA32" s="276"/>
      <c r="AB32" s="276"/>
      <c r="AC32" s="276"/>
      <c r="AD32" s="276"/>
      <c r="AE32" s="276"/>
      <c r="AF32" s="276"/>
      <c r="AG32" s="276"/>
      <c r="AH32" s="276"/>
      <c r="AI32" s="276"/>
      <c r="AJ32" s="276"/>
      <c r="AK32" s="276">
        <f t="shared" si="8"/>
        <v>0</v>
      </c>
      <c r="AL32" s="276">
        <f t="shared" si="9"/>
        <v>0</v>
      </c>
    </row>
    <row r="33" spans="1:38" s="82" customFormat="1" ht="24.9" hidden="1" customHeight="1" x14ac:dyDescent="0.3">
      <c r="A33" s="82">
        <v>32</v>
      </c>
      <c r="B33" s="82" t="s">
        <v>107</v>
      </c>
      <c r="C33" s="82" t="s">
        <v>107</v>
      </c>
      <c r="D33" s="431" t="s">
        <v>1261</v>
      </c>
      <c r="E33" s="102"/>
      <c r="F33" s="231"/>
      <c r="G33" s="83"/>
      <c r="H33" s="432">
        <v>44699</v>
      </c>
      <c r="I33" s="432">
        <v>46524</v>
      </c>
      <c r="J33" s="433">
        <v>45931</v>
      </c>
      <c r="K33" s="433">
        <v>46022</v>
      </c>
      <c r="L33" s="434" t="s">
        <v>295</v>
      </c>
      <c r="M33" s="86"/>
      <c r="N33" s="82" t="s">
        <v>1</v>
      </c>
      <c r="O33" s="87">
        <v>46097</v>
      </c>
      <c r="P33" s="82" t="s">
        <v>275</v>
      </c>
      <c r="R33" s="122"/>
      <c r="S33" s="99">
        <v>26389.29</v>
      </c>
      <c r="T33" s="122">
        <v>26389.29</v>
      </c>
      <c r="U33" s="82" t="s">
        <v>16</v>
      </c>
      <c r="W33" s="102"/>
      <c r="X33" s="122"/>
      <c r="Y33" s="122">
        <v>475.83</v>
      </c>
      <c r="Z33" s="122"/>
      <c r="AA33" s="122">
        <v>1438.32</v>
      </c>
      <c r="AB33" s="122">
        <v>430.5</v>
      </c>
      <c r="AC33" s="122">
        <v>11264.84</v>
      </c>
      <c r="AD33" s="122">
        <v>2799.73</v>
      </c>
      <c r="AE33" s="122">
        <v>2806.64</v>
      </c>
      <c r="AF33" s="122">
        <v>938.73</v>
      </c>
      <c r="AG33" s="122">
        <v>2881.25</v>
      </c>
      <c r="AH33" s="122">
        <v>22.66</v>
      </c>
      <c r="AI33" s="122">
        <v>2945.6</v>
      </c>
      <c r="AJ33" s="122">
        <v>385.19</v>
      </c>
      <c r="AK33" s="122">
        <f t="shared" ref="AK33" si="10">SUM(X33:AJ33)</f>
        <v>26389.289999999997</v>
      </c>
      <c r="AL33" s="122">
        <f t="shared" ref="AL33" si="11">S33-AK33</f>
        <v>0</v>
      </c>
    </row>
    <row r="34" spans="1:38" s="82" customFormat="1" ht="24.9" customHeight="1" x14ac:dyDescent="0.3">
      <c r="A34" s="82">
        <v>34</v>
      </c>
      <c r="B34" s="82" t="s">
        <v>0</v>
      </c>
      <c r="C34" s="82" t="s">
        <v>0</v>
      </c>
      <c r="D34" s="102" t="s">
        <v>1257</v>
      </c>
      <c r="E34" s="102"/>
      <c r="F34" s="231" t="s">
        <v>1258</v>
      </c>
      <c r="G34" s="83"/>
      <c r="H34" s="84"/>
      <c r="I34" s="84"/>
      <c r="J34" s="85">
        <v>45992</v>
      </c>
      <c r="K34" s="85">
        <v>46081</v>
      </c>
      <c r="L34" s="83" t="s">
        <v>295</v>
      </c>
      <c r="M34" s="91" t="s">
        <v>286</v>
      </c>
      <c r="N34" s="82" t="s">
        <v>1</v>
      </c>
      <c r="O34" s="87">
        <v>46101</v>
      </c>
      <c r="P34" s="82" t="s">
        <v>2</v>
      </c>
      <c r="Q34" s="82" t="s">
        <v>166</v>
      </c>
      <c r="R34" s="122"/>
      <c r="S34" s="99">
        <v>210000</v>
      </c>
      <c r="T34" s="122">
        <v>240000</v>
      </c>
      <c r="U34" s="82" t="s">
        <v>16</v>
      </c>
      <c r="W34" s="102"/>
      <c r="X34" s="122"/>
      <c r="Y34" s="122"/>
      <c r="Z34" s="122"/>
      <c r="AA34" s="122"/>
      <c r="AB34" s="122"/>
      <c r="AC34" s="122">
        <v>210000</v>
      </c>
      <c r="AD34" s="122"/>
      <c r="AE34" s="122"/>
      <c r="AF34" s="122"/>
      <c r="AG34" s="122"/>
      <c r="AH34" s="122"/>
      <c r="AI34" s="122"/>
      <c r="AJ34" s="122"/>
      <c r="AK34" s="122">
        <f t="shared" ref="AK34:AK35" si="12">SUM(X34:AJ34)</f>
        <v>210000</v>
      </c>
      <c r="AL34" s="122">
        <f t="shared" ref="AL34:AL35" si="13">S34-AK34</f>
        <v>0</v>
      </c>
    </row>
    <row r="35" spans="1:38" s="82" customFormat="1" ht="24.9" customHeight="1" x14ac:dyDescent="0.3">
      <c r="A35" s="82">
        <v>35</v>
      </c>
      <c r="B35" s="82" t="s">
        <v>0</v>
      </c>
      <c r="C35" s="82" t="s">
        <v>0</v>
      </c>
      <c r="D35" s="102" t="s">
        <v>1257</v>
      </c>
      <c r="E35" s="102"/>
      <c r="F35" s="231" t="s">
        <v>1259</v>
      </c>
      <c r="G35" s="83"/>
      <c r="H35" s="84"/>
      <c r="I35" s="84"/>
      <c r="J35" s="85">
        <v>45992</v>
      </c>
      <c r="K35" s="85">
        <v>46081</v>
      </c>
      <c r="L35" s="83" t="s">
        <v>295</v>
      </c>
      <c r="M35" s="91" t="s">
        <v>286</v>
      </c>
      <c r="N35" s="82" t="s">
        <v>1</v>
      </c>
      <c r="O35" s="87">
        <v>46101</v>
      </c>
      <c r="P35" s="82" t="s">
        <v>2</v>
      </c>
      <c r="Q35" s="82" t="s">
        <v>166</v>
      </c>
      <c r="R35" s="122"/>
      <c r="S35" s="99">
        <v>30000</v>
      </c>
      <c r="T35" s="122">
        <v>240000</v>
      </c>
      <c r="U35" s="82" t="s">
        <v>16</v>
      </c>
      <c r="W35" s="102"/>
      <c r="X35" s="122"/>
      <c r="Y35" s="122"/>
      <c r="Z35" s="122"/>
      <c r="AA35" s="122"/>
      <c r="AB35" s="122"/>
      <c r="AC35" s="122">
        <v>30000</v>
      </c>
      <c r="AD35" s="122"/>
      <c r="AE35" s="122"/>
      <c r="AF35" s="122"/>
      <c r="AG35" s="122"/>
      <c r="AH35" s="122"/>
      <c r="AI35" s="122"/>
      <c r="AJ35" s="122"/>
      <c r="AK35" s="122">
        <f t="shared" si="12"/>
        <v>30000</v>
      </c>
      <c r="AL35" s="122">
        <f t="shared" si="13"/>
        <v>0</v>
      </c>
    </row>
    <row r="36" spans="1:38" s="82" customFormat="1" ht="24.9" customHeight="1" x14ac:dyDescent="0.3">
      <c r="A36" s="82">
        <v>36</v>
      </c>
      <c r="B36" s="82" t="s">
        <v>0</v>
      </c>
      <c r="C36" s="82" t="s">
        <v>0</v>
      </c>
      <c r="D36" s="102" t="s">
        <v>587</v>
      </c>
      <c r="E36" s="102"/>
      <c r="F36" s="231" t="s">
        <v>1260</v>
      </c>
      <c r="G36" s="83"/>
      <c r="H36" s="84"/>
      <c r="I36" s="84"/>
      <c r="J36" s="85">
        <v>45992</v>
      </c>
      <c r="K36" s="85">
        <v>46081</v>
      </c>
      <c r="L36" s="83" t="s">
        <v>295</v>
      </c>
      <c r="M36" s="435" t="s">
        <v>428</v>
      </c>
      <c r="N36" s="82" t="s">
        <v>1</v>
      </c>
      <c r="O36" s="87">
        <v>46101</v>
      </c>
      <c r="P36" s="82" t="s">
        <v>2</v>
      </c>
      <c r="R36" s="122"/>
      <c r="S36" s="99">
        <v>212000</v>
      </c>
      <c r="T36" s="122">
        <v>212000</v>
      </c>
      <c r="U36" s="82" t="s">
        <v>16</v>
      </c>
      <c r="W36" s="102"/>
      <c r="X36" s="122"/>
      <c r="Y36" s="122"/>
      <c r="Z36" s="122"/>
      <c r="AA36" s="122"/>
      <c r="AB36" s="122"/>
      <c r="AC36" s="122">
        <f>94000+94000</f>
        <v>188000</v>
      </c>
      <c r="AD36" s="122">
        <f>12000+12000</f>
        <v>24000</v>
      </c>
      <c r="AE36" s="122"/>
      <c r="AF36" s="122"/>
      <c r="AG36" s="122"/>
      <c r="AH36" s="122"/>
      <c r="AI36" s="122"/>
      <c r="AJ36" s="122"/>
      <c r="AK36" s="122">
        <f t="shared" ref="AK36" si="14">SUM(X36:AJ36)</f>
        <v>212000</v>
      </c>
      <c r="AL36" s="122">
        <f t="shared" ref="AL36" si="15">S36-AK36</f>
        <v>0</v>
      </c>
    </row>
    <row r="37" spans="1:38" s="82" customFormat="1" ht="24.9" hidden="1" customHeight="1" x14ac:dyDescent="0.3">
      <c r="A37" s="82">
        <v>37</v>
      </c>
      <c r="B37" s="82" t="s">
        <v>17</v>
      </c>
      <c r="C37" s="82" t="s">
        <v>17</v>
      </c>
      <c r="D37" s="102" t="s">
        <v>1264</v>
      </c>
      <c r="E37" s="102"/>
      <c r="F37" s="231" t="s">
        <v>311</v>
      </c>
      <c r="G37" s="83"/>
      <c r="H37" s="84">
        <v>43452</v>
      </c>
      <c r="I37" s="84">
        <v>46387</v>
      </c>
      <c r="J37" s="85">
        <v>45955</v>
      </c>
      <c r="K37" s="85">
        <v>46045</v>
      </c>
      <c r="L37" s="83" t="s">
        <v>295</v>
      </c>
      <c r="M37" s="86" t="s">
        <v>310</v>
      </c>
      <c r="N37" s="82" t="s">
        <v>1</v>
      </c>
      <c r="O37" s="87">
        <v>46111</v>
      </c>
      <c r="P37" s="82" t="s">
        <v>2</v>
      </c>
      <c r="Q37" s="82" t="s">
        <v>168</v>
      </c>
      <c r="R37" s="122"/>
      <c r="S37" s="99">
        <v>29475</v>
      </c>
      <c r="T37" s="122">
        <v>26475</v>
      </c>
      <c r="U37" s="82" t="s">
        <v>16</v>
      </c>
      <c r="W37" s="102"/>
      <c r="X37" s="122"/>
      <c r="Y37" s="122"/>
      <c r="Z37" s="122"/>
      <c r="AA37" s="122"/>
      <c r="AB37" s="122"/>
      <c r="AC37" s="122">
        <v>27000</v>
      </c>
      <c r="AD37" s="122">
        <v>1575</v>
      </c>
      <c r="AE37" s="122"/>
      <c r="AF37" s="122"/>
      <c r="AG37" s="122">
        <v>225</v>
      </c>
      <c r="AH37" s="122"/>
      <c r="AI37" s="122">
        <v>675</v>
      </c>
      <c r="AJ37" s="122"/>
      <c r="AK37" s="122">
        <f t="shared" ref="AK37" si="16">SUM(X37:AJ37)</f>
        <v>29475</v>
      </c>
      <c r="AL37" s="122">
        <f t="shared" ref="AL37" si="17">S37-AK37</f>
        <v>0</v>
      </c>
    </row>
    <row r="38" spans="1:38" s="82" customFormat="1" ht="24.9" hidden="1" customHeight="1" x14ac:dyDescent="0.3">
      <c r="D38" s="102"/>
      <c r="E38" s="102"/>
      <c r="F38" s="231"/>
      <c r="G38" s="83"/>
      <c r="H38" s="84"/>
      <c r="I38" s="84"/>
      <c r="J38" s="85"/>
      <c r="K38" s="85"/>
      <c r="L38" s="83"/>
      <c r="M38" s="86"/>
      <c r="O38" s="87"/>
      <c r="R38" s="122"/>
      <c r="S38" s="108"/>
      <c r="T38" s="122"/>
      <c r="W38" s="102"/>
      <c r="X38" s="122"/>
      <c r="Y38" s="122"/>
      <c r="Z38" s="122"/>
      <c r="AA38" s="122"/>
      <c r="AB38" s="122"/>
      <c r="AC38" s="122"/>
      <c r="AD38" s="122"/>
      <c r="AE38" s="122"/>
      <c r="AF38" s="122"/>
      <c r="AG38" s="122"/>
      <c r="AH38" s="122"/>
      <c r="AI38" s="122"/>
      <c r="AJ38" s="122"/>
      <c r="AK38" s="122"/>
      <c r="AL38" s="122"/>
    </row>
    <row r="39" spans="1:38" s="422" customFormat="1" ht="24.9" hidden="1" customHeight="1" x14ac:dyDescent="0.3">
      <c r="E39" s="154"/>
      <c r="F39" s="154"/>
      <c r="G39" s="154"/>
      <c r="H39" s="154"/>
      <c r="I39" s="154"/>
      <c r="J39" s="154"/>
      <c r="K39" s="154"/>
      <c r="L39" s="154"/>
      <c r="M39" s="154"/>
      <c r="O39" s="423"/>
      <c r="R39" s="424"/>
      <c r="S39" s="425">
        <f>SUM(S2:S38)</f>
        <v>3123296.5000000005</v>
      </c>
      <c r="T39" s="424"/>
      <c r="W39" s="154"/>
      <c r="X39" s="424"/>
      <c r="Y39" s="424"/>
      <c r="Z39" s="424"/>
      <c r="AA39" s="424"/>
      <c r="AB39" s="424"/>
      <c r="AC39" s="424"/>
      <c r="AD39" s="424"/>
      <c r="AE39" s="424"/>
      <c r="AF39" s="424"/>
      <c r="AG39" s="424"/>
      <c r="AH39" s="424"/>
      <c r="AI39" s="424"/>
      <c r="AJ39" s="424"/>
      <c r="AK39" s="424"/>
      <c r="AL39" s="424"/>
    </row>
    <row r="40" spans="1:38" s="422" customFormat="1" ht="24.9" hidden="1" customHeight="1" x14ac:dyDescent="0.3">
      <c r="E40" s="154"/>
      <c r="F40" s="154"/>
      <c r="G40" s="154"/>
      <c r="H40" s="154"/>
      <c r="I40" s="154"/>
      <c r="J40" s="154"/>
      <c r="K40" s="154"/>
      <c r="L40" s="154"/>
      <c r="M40" s="154"/>
      <c r="O40" s="423"/>
      <c r="R40" s="424"/>
      <c r="S40" s="425"/>
      <c r="T40" s="424"/>
      <c r="W40" s="154"/>
      <c r="X40" s="424"/>
      <c r="Y40" s="424"/>
      <c r="Z40" s="424"/>
      <c r="AA40" s="424"/>
      <c r="AB40" s="424"/>
      <c r="AC40" s="424"/>
      <c r="AD40" s="424"/>
      <c r="AE40" s="424"/>
      <c r="AF40" s="424"/>
      <c r="AG40" s="424"/>
      <c r="AH40" s="424"/>
      <c r="AI40" s="424"/>
      <c r="AJ40" s="424"/>
      <c r="AK40" s="424"/>
      <c r="AL40" s="424"/>
    </row>
    <row r="41" spans="1:38" s="422" customFormat="1" ht="24.9" hidden="1" customHeight="1" x14ac:dyDescent="0.3">
      <c r="E41" s="154"/>
      <c r="F41" s="154"/>
      <c r="G41" s="154"/>
      <c r="H41" s="154"/>
      <c r="I41" s="154"/>
      <c r="J41" s="154"/>
      <c r="K41" s="154"/>
      <c r="L41" s="154"/>
      <c r="M41" s="154"/>
      <c r="O41" s="423"/>
      <c r="R41" s="424"/>
      <c r="S41" s="425"/>
      <c r="T41" s="424"/>
      <c r="W41" s="154"/>
      <c r="X41" s="424"/>
      <c r="Y41" s="424"/>
      <c r="Z41" s="424"/>
      <c r="AA41" s="424"/>
      <c r="AB41" s="424"/>
      <c r="AC41" s="424"/>
      <c r="AD41" s="424"/>
      <c r="AE41" s="424"/>
      <c r="AF41" s="424"/>
      <c r="AG41" s="424"/>
      <c r="AH41" s="424"/>
      <c r="AI41" s="424"/>
      <c r="AJ41" s="424"/>
      <c r="AK41" s="424"/>
      <c r="AL41" s="424"/>
    </row>
    <row r="42" spans="1:38" s="422" customFormat="1" ht="24.9" hidden="1" customHeight="1" x14ac:dyDescent="0.3">
      <c r="E42" s="154"/>
      <c r="F42" s="154"/>
      <c r="G42" s="154"/>
      <c r="H42" s="154"/>
      <c r="I42" s="154"/>
      <c r="J42" s="154"/>
      <c r="K42" s="154"/>
      <c r="L42" s="154"/>
      <c r="M42" s="154"/>
      <c r="O42" s="423"/>
      <c r="R42" s="424"/>
      <c r="S42" s="425"/>
      <c r="T42" s="424"/>
      <c r="W42" s="154"/>
      <c r="X42" s="424"/>
      <c r="Y42" s="424"/>
      <c r="Z42" s="424"/>
      <c r="AA42" s="424"/>
      <c r="AB42" s="424"/>
      <c r="AC42" s="424"/>
      <c r="AD42" s="424"/>
      <c r="AE42" s="424"/>
      <c r="AF42" s="424"/>
      <c r="AG42" s="424"/>
      <c r="AH42" s="424"/>
      <c r="AI42" s="424"/>
      <c r="AJ42" s="424"/>
      <c r="AK42" s="424"/>
      <c r="AL42" s="424"/>
    </row>
    <row r="43" spans="1:38" hidden="1" x14ac:dyDescent="0.3"/>
    <row r="44" spans="1:38" hidden="1" x14ac:dyDescent="0.3"/>
    <row r="45" spans="1:38" s="82" customFormat="1" ht="24.9" hidden="1" customHeight="1" x14ac:dyDescent="0.3">
      <c r="B45" s="82" t="s">
        <v>30</v>
      </c>
      <c r="C45" s="82" t="s">
        <v>30</v>
      </c>
      <c r="D45" s="102" t="s">
        <v>1241</v>
      </c>
      <c r="E45" s="102"/>
      <c r="F45" s="231"/>
      <c r="G45" s="83"/>
      <c r="H45" s="84"/>
      <c r="I45" s="84"/>
      <c r="J45" s="85">
        <v>45931</v>
      </c>
      <c r="K45" s="85">
        <v>46022</v>
      </c>
      <c r="L45" s="85" t="s">
        <v>295</v>
      </c>
      <c r="M45" s="86"/>
      <c r="O45" s="87"/>
      <c r="R45" s="122"/>
      <c r="S45" s="122">
        <v>20000</v>
      </c>
      <c r="T45" s="122"/>
      <c r="W45" s="102"/>
      <c r="X45" s="122"/>
      <c r="Y45" s="122"/>
      <c r="Z45" s="122"/>
      <c r="AA45" s="122"/>
      <c r="AB45" s="122"/>
      <c r="AC45" s="122">
        <v>7200</v>
      </c>
      <c r="AD45" s="122">
        <v>6400</v>
      </c>
      <c r="AE45" s="122">
        <v>3200</v>
      </c>
      <c r="AF45" s="122"/>
      <c r="AG45" s="122"/>
      <c r="AH45" s="122"/>
      <c r="AI45" s="122">
        <v>3200</v>
      </c>
      <c r="AJ45" s="122"/>
      <c r="AK45" s="122"/>
      <c r="AL45" s="122"/>
    </row>
  </sheetData>
  <autoFilter ref="A1:AL45" xr:uid="{97C722B5-3A6F-4AB1-B293-C295826A453A}">
    <filterColumn colId="2">
      <filters>
        <filter val="Boston Sci"/>
      </filters>
    </filterColumn>
  </autoFilter>
  <hyperlinks>
    <hyperlink ref="M2" r:id="rId1" tooltip="4052.4507C" display="https://contracts.tractmanager.com/contracts/contractsummary.aspx?id=4507" xr:uid="{DD2A19D8-EB09-4258-B517-E739DB413468}"/>
    <hyperlink ref="M3" r:id="rId2" tooltip="4052.4129C" display="https://contracts.tractmanager.com/contracts/contractsummary.aspx?id=4129" xr:uid="{395D9DEB-6664-4206-830F-CEE4C7662247}"/>
    <hyperlink ref="M4" r:id="rId3" tooltip="4052.4129C" display="https://contracts.tractmanager.com/contracts/contractsummary.aspx?id=4129" xr:uid="{4833C161-66B8-4DE9-915C-4E0347A1A3DC}"/>
    <hyperlink ref="M5" r:id="rId4" tooltip="4052.31156C" display="https://contracts.tractmanager.com/contracts/contractsummary.aspx?id=31156" xr:uid="{B8D92EC7-BB91-4963-B3FA-2DE2422C0447}"/>
    <hyperlink ref="M6" r:id="rId5" tooltip="4052.5862C" display="https://contracts.tractmanager.com/contracts/contractsummary.aspx?id=5862" xr:uid="{E82E7336-BB22-472C-AEAA-3143935BBAC9}"/>
    <hyperlink ref="M7:M10" r:id="rId6" tooltip="4052.4340C" display="https://contracts.tractmanager.com/contracts/contractsummary.aspx?id=4340" xr:uid="{48C68F98-3277-4172-BF8C-AC7C9ED1FB27}"/>
    <hyperlink ref="M11" r:id="rId7" tooltip="4052.7651C" display="https://contracts.tractmanager.com/contracts/contractsummary.aspx?id=7651" xr:uid="{4A09DEB8-F932-422B-A5D4-30C39A88ED90}"/>
    <hyperlink ref="M12" r:id="rId8" tooltip="4052.27581C" display="https://contracts.tractmanager.com/contracts/contractsummary.aspx?id=27581" xr:uid="{887098A2-DA80-4CA3-9A46-E4B169CB12D6}"/>
    <hyperlink ref="M13" r:id="rId9" tooltip="4052.3435C" display="https://contracts.tractmanager.com/contracts/contractsummary.aspx?id=3435" xr:uid="{5F981E73-4CD3-43CB-9765-493B4DAE236A}"/>
    <hyperlink ref="M14" r:id="rId10" tooltip="4052.3435C" display="https://contracts.tractmanager.com/contracts/contractsummary.aspx?id=3435" xr:uid="{DAE7C95C-BFE0-4633-B54C-AB80CE8D04D0}"/>
    <hyperlink ref="M22" r:id="rId11" tooltip="4052.5862C" display="https://contracts.tractmanager.com/contracts/contractsummary.aspx?id=5862" xr:uid="{E1114F80-2672-49E1-9CBB-61EA325C9158}"/>
    <hyperlink ref="M26" r:id="rId12" display="https://contracts.tractmanager.com/contracts/contractsummary.aspx?id=25253" xr:uid="{D958FE6B-3AE3-416E-9E04-129DB964B4E5}"/>
    <hyperlink ref="M34:M35" r:id="rId13" tooltip="4052.31156C" display="https://contracts.tractmanager.com/contracts/contractsummary.aspx?id=31156" xr:uid="{85934AB4-0CC7-4915-A24F-3BD86DA0D69B}"/>
    <hyperlink ref="M37" r:id="rId14" tooltip="4052.4507C" display="https://contracts.tractmanager.com/contracts/contractsummary.aspx?id=4507" xr:uid="{CE357293-9E01-402D-ABBA-883D45994B2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0B51C-819D-4E3E-950C-872ACE377457}">
  <sheetPr filterMode="1"/>
  <dimension ref="A1:AM199"/>
  <sheetViews>
    <sheetView topLeftCell="D1" zoomScale="90" zoomScaleNormal="90" workbookViewId="0">
      <pane ySplit="1" topLeftCell="A46" activePane="bottomLeft" state="frozen"/>
      <selection activeCell="J1" sqref="J1"/>
      <selection pane="bottomLeft" activeCell="I105" sqref="A1:AM199"/>
    </sheetView>
  </sheetViews>
  <sheetFormatPr defaultColWidth="54.09765625" defaultRowHeight="15.6" x14ac:dyDescent="0.3"/>
  <cols>
    <col min="1" max="1" width="14" style="19" customWidth="1"/>
    <col min="2" max="4" width="54.09765625" style="20"/>
    <col min="5" max="5" width="0" style="20" hidden="1" customWidth="1"/>
    <col min="6" max="6" width="54.09765625" style="20"/>
    <col min="7" max="7" width="19.8984375" style="20" customWidth="1"/>
    <col min="8" max="8" width="23.8984375" style="20" bestFit="1" customWidth="1"/>
    <col min="9" max="9" width="23.09765625" style="20" bestFit="1" customWidth="1"/>
    <col min="10" max="10" width="28.8984375" style="43" bestFit="1" customWidth="1"/>
    <col min="11" max="11" width="28" style="43" bestFit="1" customWidth="1"/>
    <col min="12" max="12" width="22.5" style="43" bestFit="1" customWidth="1"/>
    <col min="13" max="16" width="54.09765625" style="40"/>
    <col min="17" max="17" width="54.09765625" style="20"/>
    <col min="18" max="18" width="54.09765625" style="39"/>
    <col min="19" max="19" width="41.5" style="41" customWidth="1"/>
    <col min="20" max="20" width="39" style="399" customWidth="1"/>
    <col min="21" max="21" width="38" style="20" customWidth="1"/>
    <col min="22" max="22" width="11.59765625" style="42" customWidth="1"/>
    <col min="23" max="23" width="54.09765625" style="43"/>
    <col min="24" max="38" width="54.09765625" style="81"/>
    <col min="39" max="16384" width="54.09765625" style="71"/>
  </cols>
  <sheetData>
    <row r="1" spans="1:38" s="80" customFormat="1" ht="28.8" x14ac:dyDescent="0.3">
      <c r="A1" s="75" t="s">
        <v>171</v>
      </c>
      <c r="B1" s="75" t="s">
        <v>45</v>
      </c>
      <c r="C1" s="75" t="s">
        <v>46</v>
      </c>
      <c r="D1" s="75" t="s">
        <v>766</v>
      </c>
      <c r="E1" s="75" t="s">
        <v>767</v>
      </c>
      <c r="F1" s="75" t="s">
        <v>972</v>
      </c>
      <c r="G1" s="75" t="s">
        <v>859</v>
      </c>
      <c r="H1" s="75" t="s">
        <v>860</v>
      </c>
      <c r="I1" s="75" t="s">
        <v>861</v>
      </c>
      <c r="J1" s="75" t="s">
        <v>857</v>
      </c>
      <c r="K1" s="75" t="s">
        <v>858</v>
      </c>
      <c r="L1" s="75" t="s">
        <v>866</v>
      </c>
      <c r="M1" s="75" t="s">
        <v>279</v>
      </c>
      <c r="N1" s="75" t="s">
        <v>48</v>
      </c>
      <c r="O1" s="75" t="s">
        <v>49</v>
      </c>
      <c r="P1" s="75" t="s">
        <v>50</v>
      </c>
      <c r="Q1" s="75" t="s">
        <v>165</v>
      </c>
      <c r="R1" s="76" t="s">
        <v>258</v>
      </c>
      <c r="S1" s="77" t="s">
        <v>51</v>
      </c>
      <c r="T1" s="76" t="s">
        <v>249</v>
      </c>
      <c r="U1" s="75" t="s">
        <v>52</v>
      </c>
      <c r="V1" s="75" t="s">
        <v>53</v>
      </c>
      <c r="W1" s="4" t="s">
        <v>86</v>
      </c>
      <c r="X1" s="78" t="s">
        <v>59</v>
      </c>
      <c r="Y1" s="78" t="s">
        <v>58</v>
      </c>
      <c r="Z1" s="78" t="s">
        <v>60</v>
      </c>
      <c r="AA1" s="78" t="s">
        <v>56</v>
      </c>
      <c r="AB1" s="78" t="s">
        <v>61</v>
      </c>
      <c r="AC1" s="78" t="s">
        <v>62</v>
      </c>
      <c r="AD1" s="78" t="s">
        <v>63</v>
      </c>
      <c r="AE1" s="78" t="s">
        <v>55</v>
      </c>
      <c r="AF1" s="78" t="s">
        <v>64</v>
      </c>
      <c r="AG1" s="78" t="s">
        <v>54</v>
      </c>
      <c r="AH1" s="78" t="s">
        <v>65</v>
      </c>
      <c r="AI1" s="78" t="s">
        <v>57</v>
      </c>
      <c r="AJ1" s="78" t="s">
        <v>801</v>
      </c>
      <c r="AK1" s="79" t="s">
        <v>161</v>
      </c>
      <c r="AL1" s="78" t="s">
        <v>162</v>
      </c>
    </row>
    <row r="2" spans="1:38" s="82" customFormat="1" ht="80.25" hidden="1" customHeight="1" x14ac:dyDescent="0.3">
      <c r="A2" s="82">
        <v>1</v>
      </c>
      <c r="B2" s="82" t="s">
        <v>17</v>
      </c>
      <c r="C2" s="82" t="s">
        <v>17</v>
      </c>
      <c r="D2" s="102" t="s">
        <v>817</v>
      </c>
      <c r="E2" s="102" t="s">
        <v>862</v>
      </c>
      <c r="F2" s="102" t="s">
        <v>976</v>
      </c>
      <c r="G2" s="83">
        <v>118</v>
      </c>
      <c r="H2" s="84">
        <v>42005</v>
      </c>
      <c r="I2" s="84">
        <v>46752</v>
      </c>
      <c r="J2" s="85">
        <v>45536</v>
      </c>
      <c r="K2" s="85">
        <v>45626</v>
      </c>
      <c r="L2" s="85" t="s">
        <v>295</v>
      </c>
      <c r="M2" s="86" t="s">
        <v>519</v>
      </c>
      <c r="N2" s="82" t="s">
        <v>5</v>
      </c>
      <c r="O2" s="87">
        <v>45662</v>
      </c>
      <c r="P2" s="82" t="s">
        <v>135</v>
      </c>
      <c r="R2" s="122"/>
      <c r="S2" s="319">
        <v>525000</v>
      </c>
      <c r="T2" s="122">
        <v>525000</v>
      </c>
      <c r="U2" s="82" t="s">
        <v>3</v>
      </c>
      <c r="V2" s="92" t="s">
        <v>798</v>
      </c>
      <c r="W2" s="109" t="s">
        <v>819</v>
      </c>
      <c r="X2" s="124"/>
      <c r="Y2" s="124"/>
      <c r="Z2" s="124"/>
      <c r="AA2" s="124"/>
      <c r="AB2" s="124"/>
      <c r="AC2" s="124">
        <v>525000</v>
      </c>
      <c r="AD2" s="124"/>
      <c r="AE2" s="124"/>
      <c r="AF2" s="124"/>
      <c r="AG2" s="124"/>
      <c r="AH2" s="124"/>
      <c r="AI2" s="124"/>
      <c r="AJ2" s="124"/>
      <c r="AK2" s="124">
        <f t="shared" ref="AK2:AK33" si="0">SUM(X2:AJ2)</f>
        <v>525000</v>
      </c>
      <c r="AL2" s="124">
        <f t="shared" ref="AL2:AL15" si="1">S2-AK2</f>
        <v>0</v>
      </c>
    </row>
    <row r="3" spans="1:38" s="82" customFormat="1" ht="24.9" hidden="1" customHeight="1" x14ac:dyDescent="0.3">
      <c r="A3" s="82">
        <v>2</v>
      </c>
      <c r="B3" s="82" t="s">
        <v>100</v>
      </c>
      <c r="C3" s="82" t="s">
        <v>100</v>
      </c>
      <c r="D3" s="102" t="s">
        <v>864</v>
      </c>
      <c r="E3" s="102" t="s">
        <v>768</v>
      </c>
      <c r="F3" s="231" t="s">
        <v>444</v>
      </c>
      <c r="G3" s="126">
        <v>90</v>
      </c>
      <c r="H3" s="84">
        <v>41108</v>
      </c>
      <c r="I3" s="84">
        <v>46203</v>
      </c>
      <c r="J3" s="83"/>
      <c r="K3" s="83"/>
      <c r="L3" s="85" t="s">
        <v>295</v>
      </c>
      <c r="M3" s="91" t="s">
        <v>283</v>
      </c>
      <c r="N3" s="82" t="s">
        <v>1</v>
      </c>
      <c r="O3" s="87">
        <v>45667</v>
      </c>
      <c r="P3" s="82" t="s">
        <v>275</v>
      </c>
      <c r="R3" s="122"/>
      <c r="S3" s="123">
        <v>7000</v>
      </c>
      <c r="T3" s="122">
        <v>7000</v>
      </c>
      <c r="U3" s="82" t="s">
        <v>3</v>
      </c>
      <c r="V3" s="92" t="s">
        <v>280</v>
      </c>
      <c r="W3" s="125" t="s">
        <v>865</v>
      </c>
      <c r="X3" s="124"/>
      <c r="Y3" s="124"/>
      <c r="Z3" s="124"/>
      <c r="AA3" s="124"/>
      <c r="AB3" s="124"/>
      <c r="AC3" s="124">
        <v>7000</v>
      </c>
      <c r="AD3" s="124"/>
      <c r="AE3" s="124"/>
      <c r="AF3" s="124"/>
      <c r="AG3" s="124"/>
      <c r="AH3" s="124"/>
      <c r="AI3" s="124"/>
      <c r="AJ3" s="124"/>
      <c r="AK3" s="124">
        <f t="shared" si="0"/>
        <v>7000</v>
      </c>
      <c r="AL3" s="124">
        <f t="shared" si="1"/>
        <v>0</v>
      </c>
    </row>
    <row r="4" spans="1:38" s="82" customFormat="1" ht="24.9" customHeight="1" x14ac:dyDescent="0.3">
      <c r="A4" s="82">
        <v>3</v>
      </c>
      <c r="B4" s="82" t="s">
        <v>0</v>
      </c>
      <c r="C4" s="82" t="s">
        <v>0</v>
      </c>
      <c r="D4" s="102" t="s">
        <v>285</v>
      </c>
      <c r="E4" s="102" t="s">
        <v>863</v>
      </c>
      <c r="F4" s="102" t="s">
        <v>983</v>
      </c>
      <c r="G4" s="83">
        <v>133</v>
      </c>
      <c r="H4" s="84">
        <v>45322</v>
      </c>
      <c r="I4" s="84">
        <v>45961</v>
      </c>
      <c r="J4" s="85">
        <v>45536</v>
      </c>
      <c r="K4" s="85">
        <v>45626</v>
      </c>
      <c r="L4" s="83" t="s">
        <v>295</v>
      </c>
      <c r="M4" s="86" t="s">
        <v>286</v>
      </c>
      <c r="N4" s="82" t="s">
        <v>1</v>
      </c>
      <c r="O4" s="87">
        <v>45667</v>
      </c>
      <c r="P4" s="82" t="s">
        <v>2</v>
      </c>
      <c r="Q4" s="82" t="s">
        <v>166</v>
      </c>
      <c r="R4" s="122"/>
      <c r="S4" s="319">
        <v>686000</v>
      </c>
      <c r="T4" s="122">
        <v>686000</v>
      </c>
      <c r="U4" s="82" t="s">
        <v>3</v>
      </c>
      <c r="V4" s="92" t="s">
        <v>280</v>
      </c>
      <c r="W4" s="102"/>
      <c r="X4" s="124"/>
      <c r="Y4" s="124"/>
      <c r="Z4" s="124"/>
      <c r="AA4" s="124"/>
      <c r="AB4" s="124"/>
      <c r="AC4" s="124">
        <v>686000</v>
      </c>
      <c r="AD4" s="124"/>
      <c r="AE4" s="124"/>
      <c r="AF4" s="124"/>
      <c r="AG4" s="124"/>
      <c r="AH4" s="124"/>
      <c r="AI4" s="124"/>
      <c r="AJ4" s="124"/>
      <c r="AK4" s="124">
        <f t="shared" si="0"/>
        <v>686000</v>
      </c>
      <c r="AL4" s="124">
        <f t="shared" si="1"/>
        <v>0</v>
      </c>
    </row>
    <row r="5" spans="1:38" s="82" customFormat="1" ht="24.9" hidden="1" customHeight="1" x14ac:dyDescent="0.3">
      <c r="A5" s="82">
        <v>4</v>
      </c>
      <c r="B5" s="82" t="s">
        <v>124</v>
      </c>
      <c r="C5" s="82" t="s">
        <v>124</v>
      </c>
      <c r="D5" s="102" t="s">
        <v>274</v>
      </c>
      <c r="E5" s="102" t="s">
        <v>785</v>
      </c>
      <c r="F5" s="231" t="s">
        <v>495</v>
      </c>
      <c r="G5" s="83">
        <v>106</v>
      </c>
      <c r="H5" s="84">
        <v>43617</v>
      </c>
      <c r="I5" s="84">
        <v>47239</v>
      </c>
      <c r="J5" s="84">
        <v>45566</v>
      </c>
      <c r="K5" s="84">
        <v>45657</v>
      </c>
      <c r="L5" s="84" t="s">
        <v>295</v>
      </c>
      <c r="M5" s="86" t="s">
        <v>281</v>
      </c>
      <c r="N5" s="82" t="s">
        <v>1</v>
      </c>
      <c r="O5" s="87">
        <v>45674</v>
      </c>
      <c r="P5" s="82" t="s">
        <v>275</v>
      </c>
      <c r="R5" s="122"/>
      <c r="S5" s="123">
        <v>24829.43</v>
      </c>
      <c r="T5" s="122">
        <v>24829.43</v>
      </c>
      <c r="U5" s="82" t="s">
        <v>3</v>
      </c>
      <c r="V5" s="92" t="s">
        <v>280</v>
      </c>
      <c r="W5" s="102"/>
      <c r="X5" s="124">
        <v>1184.4000000000001</v>
      </c>
      <c r="Y5" s="124"/>
      <c r="Z5" s="124"/>
      <c r="AA5" s="124">
        <v>442.68</v>
      </c>
      <c r="AB5" s="124"/>
      <c r="AC5" s="124">
        <v>8987.9500000000007</v>
      </c>
      <c r="AD5" s="124">
        <v>2113.65</v>
      </c>
      <c r="AE5" s="124">
        <v>2479.81</v>
      </c>
      <c r="AF5" s="124"/>
      <c r="AG5" s="124">
        <v>5349.6</v>
      </c>
      <c r="AH5" s="124"/>
      <c r="AI5" s="124">
        <v>4271.34</v>
      </c>
      <c r="AJ5" s="124"/>
      <c r="AK5" s="124">
        <f t="shared" si="0"/>
        <v>24829.43</v>
      </c>
      <c r="AL5" s="124">
        <f t="shared" si="1"/>
        <v>0</v>
      </c>
    </row>
    <row r="6" spans="1:38" s="92" customFormat="1" ht="24.9" hidden="1" customHeight="1" x14ac:dyDescent="0.3">
      <c r="A6" s="82">
        <v>5</v>
      </c>
      <c r="B6" s="92" t="s">
        <v>739</v>
      </c>
      <c r="C6" s="92" t="s">
        <v>739</v>
      </c>
      <c r="D6" s="109" t="s">
        <v>741</v>
      </c>
      <c r="E6" s="109" t="s">
        <v>868</v>
      </c>
      <c r="F6" s="109" t="s">
        <v>973</v>
      </c>
      <c r="G6" s="83">
        <v>528</v>
      </c>
      <c r="H6" s="84">
        <v>45413</v>
      </c>
      <c r="I6" s="84">
        <v>46203</v>
      </c>
      <c r="J6" s="84">
        <v>45474</v>
      </c>
      <c r="K6" s="84">
        <v>45565</v>
      </c>
      <c r="L6" s="83" t="s">
        <v>295</v>
      </c>
      <c r="M6" s="92" t="s">
        <v>740</v>
      </c>
      <c r="N6" s="92" t="s">
        <v>1</v>
      </c>
      <c r="O6" s="93">
        <v>45679</v>
      </c>
      <c r="P6" s="92" t="s">
        <v>275</v>
      </c>
      <c r="R6" s="108"/>
      <c r="S6" s="123">
        <v>81672</v>
      </c>
      <c r="T6" s="108">
        <v>81672</v>
      </c>
      <c r="U6" s="92" t="s">
        <v>3</v>
      </c>
      <c r="V6" s="92" t="s">
        <v>798</v>
      </c>
      <c r="W6" s="109" t="s">
        <v>867</v>
      </c>
      <c r="X6" s="110"/>
      <c r="Y6" s="110"/>
      <c r="Z6" s="110"/>
      <c r="AA6" s="110"/>
      <c r="AB6" s="110"/>
      <c r="AC6" s="110">
        <v>81672</v>
      </c>
      <c r="AD6" s="110"/>
      <c r="AE6" s="110"/>
      <c r="AF6" s="110"/>
      <c r="AG6" s="110"/>
      <c r="AH6" s="110"/>
      <c r="AI6" s="110"/>
      <c r="AJ6" s="110"/>
      <c r="AK6" s="124">
        <f t="shared" si="0"/>
        <v>81672</v>
      </c>
      <c r="AL6" s="124">
        <f t="shared" si="1"/>
        <v>0</v>
      </c>
    </row>
    <row r="7" spans="1:38" s="82" customFormat="1" ht="24.9" customHeight="1" x14ac:dyDescent="0.3">
      <c r="A7" s="82">
        <v>6</v>
      </c>
      <c r="B7" s="82" t="s">
        <v>0</v>
      </c>
      <c r="C7" s="82" t="s">
        <v>0</v>
      </c>
      <c r="D7" s="102" t="s">
        <v>278</v>
      </c>
      <c r="E7" s="102" t="s">
        <v>770</v>
      </c>
      <c r="F7" s="231" t="s">
        <v>426</v>
      </c>
      <c r="G7" s="83">
        <v>83</v>
      </c>
      <c r="H7" s="84">
        <v>44287</v>
      </c>
      <c r="I7" s="84">
        <v>46660</v>
      </c>
      <c r="J7" s="85">
        <v>45474</v>
      </c>
      <c r="K7" s="85">
        <v>45565</v>
      </c>
      <c r="L7" s="94" t="s">
        <v>295</v>
      </c>
      <c r="M7" s="86" t="s">
        <v>679</v>
      </c>
      <c r="N7" s="82" t="s">
        <v>1</v>
      </c>
      <c r="O7" s="87">
        <v>45681</v>
      </c>
      <c r="P7" s="82" t="s">
        <v>2</v>
      </c>
      <c r="Q7" s="82" t="s">
        <v>166</v>
      </c>
      <c r="R7" s="122"/>
      <c r="S7" s="319">
        <v>187647.56</v>
      </c>
      <c r="T7" s="122">
        <v>187647.56</v>
      </c>
      <c r="U7" s="82" t="s">
        <v>3</v>
      </c>
      <c r="V7" s="92" t="s">
        <v>280</v>
      </c>
      <c r="W7" s="102"/>
      <c r="X7" s="124"/>
      <c r="Y7" s="124"/>
      <c r="Z7" s="124"/>
      <c r="AA7" s="124">
        <v>201.31</v>
      </c>
      <c r="AB7" s="124"/>
      <c r="AC7" s="124">
        <v>80613.23</v>
      </c>
      <c r="AD7" s="124">
        <v>71211.3</v>
      </c>
      <c r="AE7" s="124">
        <v>1749.2</v>
      </c>
      <c r="AF7" s="124"/>
      <c r="AG7" s="124"/>
      <c r="AH7" s="124"/>
      <c r="AI7" s="124">
        <v>33872.519999999997</v>
      </c>
      <c r="AJ7" s="124"/>
      <c r="AK7" s="124">
        <f t="shared" si="0"/>
        <v>187647.56</v>
      </c>
      <c r="AL7" s="124">
        <f t="shared" si="1"/>
        <v>0</v>
      </c>
    </row>
    <row r="8" spans="1:38" s="92" customFormat="1" ht="24.9" hidden="1" customHeight="1" x14ac:dyDescent="0.3">
      <c r="A8" s="82">
        <v>7</v>
      </c>
      <c r="B8" s="92" t="s">
        <v>103</v>
      </c>
      <c r="C8" s="92" t="s">
        <v>103</v>
      </c>
      <c r="D8" s="109" t="s">
        <v>594</v>
      </c>
      <c r="E8" s="109" t="s">
        <v>869</v>
      </c>
      <c r="F8" s="231" t="s">
        <v>974</v>
      </c>
      <c r="G8" s="83">
        <v>41</v>
      </c>
      <c r="H8" s="84">
        <v>44901</v>
      </c>
      <c r="I8" s="84">
        <v>46721</v>
      </c>
      <c r="J8" s="84">
        <v>45566</v>
      </c>
      <c r="K8" s="84">
        <v>45657</v>
      </c>
      <c r="L8" s="84" t="s">
        <v>295</v>
      </c>
      <c r="M8" s="95" t="s">
        <v>353</v>
      </c>
      <c r="N8" s="92" t="s">
        <v>1</v>
      </c>
      <c r="O8" s="93">
        <v>45686</v>
      </c>
      <c r="P8" s="92" t="s">
        <v>275</v>
      </c>
      <c r="R8" s="108"/>
      <c r="S8" s="99">
        <v>6688.46</v>
      </c>
      <c r="T8" s="108">
        <v>6688.46</v>
      </c>
      <c r="U8" s="92" t="s">
        <v>3</v>
      </c>
      <c r="V8" s="92" t="s">
        <v>806</v>
      </c>
      <c r="W8" s="109"/>
      <c r="X8" s="110">
        <f>160.92+45.5</f>
        <v>206.42</v>
      </c>
      <c r="Y8" s="110"/>
      <c r="Z8" s="110"/>
      <c r="AA8" s="110">
        <v>25.6</v>
      </c>
      <c r="AB8" s="110">
        <f>0.3+7.34</f>
        <v>7.64</v>
      </c>
      <c r="AC8" s="110">
        <f>1177.09+2696.89+7.11</f>
        <v>3881.0899999999997</v>
      </c>
      <c r="AD8" s="110">
        <f>641.31+5.32</f>
        <v>646.63</v>
      </c>
      <c r="AE8" s="110">
        <f>8.27</f>
        <v>8.27</v>
      </c>
      <c r="AF8" s="110"/>
      <c r="AG8" s="110">
        <f>370.25+769.8</f>
        <v>1140.05</v>
      </c>
      <c r="AH8" s="110"/>
      <c r="AI8" s="110">
        <v>772.76</v>
      </c>
      <c r="AJ8" s="110"/>
      <c r="AK8" s="124">
        <f t="shared" si="0"/>
        <v>6688.4600000000009</v>
      </c>
      <c r="AL8" s="124">
        <f t="shared" si="1"/>
        <v>0</v>
      </c>
    </row>
    <row r="9" spans="1:38" s="82" customFormat="1" ht="24.9" hidden="1" customHeight="1" x14ac:dyDescent="0.3">
      <c r="A9" s="82">
        <v>8</v>
      </c>
      <c r="B9" s="82" t="s">
        <v>100</v>
      </c>
      <c r="C9" s="82" t="s">
        <v>100</v>
      </c>
      <c r="D9" s="102" t="s">
        <v>284</v>
      </c>
      <c r="E9" s="102" t="s">
        <v>768</v>
      </c>
      <c r="F9" s="231" t="s">
        <v>444</v>
      </c>
      <c r="G9" s="126">
        <v>90</v>
      </c>
      <c r="H9" s="84">
        <v>41108</v>
      </c>
      <c r="I9" s="84">
        <v>46203</v>
      </c>
      <c r="J9" s="83"/>
      <c r="K9" s="83"/>
      <c r="L9" s="85" t="s">
        <v>295</v>
      </c>
      <c r="M9" s="91" t="s">
        <v>283</v>
      </c>
      <c r="N9" s="82" t="s">
        <v>1</v>
      </c>
      <c r="O9" s="87">
        <v>45687</v>
      </c>
      <c r="P9" s="82" t="s">
        <v>275</v>
      </c>
      <c r="R9" s="122"/>
      <c r="S9" s="123">
        <v>3500</v>
      </c>
      <c r="T9" s="122">
        <v>3500</v>
      </c>
      <c r="U9" s="82" t="s">
        <v>3</v>
      </c>
      <c r="V9" s="92" t="s">
        <v>280</v>
      </c>
      <c r="W9" s="125" t="s">
        <v>865</v>
      </c>
      <c r="X9" s="124"/>
      <c r="Y9" s="124"/>
      <c r="Z9" s="124"/>
      <c r="AA9" s="124"/>
      <c r="AB9" s="124"/>
      <c r="AC9" s="124">
        <v>3500</v>
      </c>
      <c r="AD9" s="124"/>
      <c r="AE9" s="124"/>
      <c r="AF9" s="124"/>
      <c r="AG9" s="124"/>
      <c r="AH9" s="124"/>
      <c r="AI9" s="124"/>
      <c r="AJ9" s="124"/>
      <c r="AK9" s="124">
        <f t="shared" si="0"/>
        <v>3500</v>
      </c>
      <c r="AL9" s="124">
        <f t="shared" si="1"/>
        <v>0</v>
      </c>
    </row>
    <row r="10" spans="1:38" s="92" customFormat="1" ht="24.9" hidden="1" customHeight="1" x14ac:dyDescent="0.3">
      <c r="A10" s="82">
        <v>9</v>
      </c>
      <c r="B10" s="92" t="s">
        <v>17</v>
      </c>
      <c r="C10" s="92" t="s">
        <v>17</v>
      </c>
      <c r="D10" s="109" t="s">
        <v>695</v>
      </c>
      <c r="E10" s="109" t="s">
        <v>780</v>
      </c>
      <c r="F10" s="231" t="s">
        <v>1111</v>
      </c>
      <c r="G10" s="83">
        <v>221</v>
      </c>
      <c r="H10" s="84">
        <v>43647</v>
      </c>
      <c r="I10" s="84">
        <v>46752</v>
      </c>
      <c r="J10" s="85">
        <v>45108</v>
      </c>
      <c r="K10" s="85">
        <v>45473</v>
      </c>
      <c r="L10" s="94" t="s">
        <v>289</v>
      </c>
      <c r="M10" s="95" t="s">
        <v>288</v>
      </c>
      <c r="N10" s="92" t="s">
        <v>1</v>
      </c>
      <c r="O10" s="93">
        <v>45691</v>
      </c>
      <c r="P10" s="92" t="s">
        <v>135</v>
      </c>
      <c r="R10" s="108"/>
      <c r="S10" s="320">
        <v>1341958.26</v>
      </c>
      <c r="T10" s="108">
        <v>1341958.26</v>
      </c>
      <c r="U10" s="92" t="s">
        <v>8</v>
      </c>
      <c r="V10" s="92" t="s">
        <v>807</v>
      </c>
      <c r="W10" s="109" t="s">
        <v>735</v>
      </c>
      <c r="X10" s="110"/>
      <c r="Y10" s="110"/>
      <c r="Z10" s="110"/>
      <c r="AA10" s="110"/>
      <c r="AB10" s="110"/>
      <c r="AC10" s="110"/>
      <c r="AD10" s="110">
        <v>1341958.26</v>
      </c>
      <c r="AE10" s="110"/>
      <c r="AF10" s="110"/>
      <c r="AG10" s="110"/>
      <c r="AH10" s="110"/>
      <c r="AI10" s="110"/>
      <c r="AJ10" s="110"/>
      <c r="AK10" s="124">
        <f t="shared" si="0"/>
        <v>1341958.26</v>
      </c>
      <c r="AL10" s="124">
        <f t="shared" si="1"/>
        <v>0</v>
      </c>
    </row>
    <row r="11" spans="1:38" s="82" customFormat="1" ht="24.9" hidden="1" customHeight="1" x14ac:dyDescent="0.3">
      <c r="A11" s="82">
        <v>10</v>
      </c>
      <c r="B11" s="82" t="s">
        <v>17</v>
      </c>
      <c r="C11" s="82" t="s">
        <v>17</v>
      </c>
      <c r="D11" s="102" t="s">
        <v>676</v>
      </c>
      <c r="E11" s="102" t="s">
        <v>771</v>
      </c>
      <c r="F11" s="231" t="s">
        <v>311</v>
      </c>
      <c r="G11" s="83">
        <v>17</v>
      </c>
      <c r="H11" s="84">
        <v>43452</v>
      </c>
      <c r="I11" s="84">
        <v>46387</v>
      </c>
      <c r="J11" s="85">
        <v>45500</v>
      </c>
      <c r="K11" s="85">
        <v>45590</v>
      </c>
      <c r="L11" s="85" t="s">
        <v>295</v>
      </c>
      <c r="M11" s="86" t="s">
        <v>310</v>
      </c>
      <c r="N11" s="82" t="s">
        <v>1</v>
      </c>
      <c r="O11" s="87">
        <v>45691</v>
      </c>
      <c r="P11" s="82" t="s">
        <v>2</v>
      </c>
      <c r="Q11" s="82" t="s">
        <v>168</v>
      </c>
      <c r="R11" s="122"/>
      <c r="S11" s="319">
        <v>15750</v>
      </c>
      <c r="T11" s="122">
        <v>15750</v>
      </c>
      <c r="U11" s="82" t="s">
        <v>8</v>
      </c>
      <c r="V11" s="92" t="s">
        <v>280</v>
      </c>
      <c r="W11" s="102"/>
      <c r="X11" s="124"/>
      <c r="Y11" s="124"/>
      <c r="Z11" s="124"/>
      <c r="AA11" s="124"/>
      <c r="AB11" s="124"/>
      <c r="AC11" s="124">
        <v>8550</v>
      </c>
      <c r="AD11" s="124">
        <v>5850</v>
      </c>
      <c r="AE11" s="124">
        <v>450</v>
      </c>
      <c r="AF11" s="124"/>
      <c r="AG11" s="124">
        <v>675</v>
      </c>
      <c r="AH11" s="124"/>
      <c r="AI11" s="124">
        <v>225</v>
      </c>
      <c r="AJ11" s="124"/>
      <c r="AK11" s="124">
        <f t="shared" si="0"/>
        <v>15750</v>
      </c>
      <c r="AL11" s="124">
        <f t="shared" si="1"/>
        <v>0</v>
      </c>
    </row>
    <row r="12" spans="1:38" s="82" customFormat="1" ht="24.9" hidden="1" customHeight="1" x14ac:dyDescent="0.3">
      <c r="A12" s="82">
        <v>11</v>
      </c>
      <c r="B12" s="82" t="s">
        <v>149</v>
      </c>
      <c r="C12" s="82" t="s">
        <v>152</v>
      </c>
      <c r="D12" s="102" t="s">
        <v>677</v>
      </c>
      <c r="E12" s="102" t="s">
        <v>790</v>
      </c>
      <c r="F12" s="231" t="s">
        <v>325</v>
      </c>
      <c r="G12" s="83">
        <v>30</v>
      </c>
      <c r="H12" s="84">
        <v>45597</v>
      </c>
      <c r="I12" s="84">
        <v>47422</v>
      </c>
      <c r="J12" s="85">
        <v>45231</v>
      </c>
      <c r="K12" s="85">
        <v>45596</v>
      </c>
      <c r="L12" s="94" t="s">
        <v>289</v>
      </c>
      <c r="M12" s="86" t="s">
        <v>282</v>
      </c>
      <c r="N12" s="82" t="s">
        <v>1</v>
      </c>
      <c r="O12" s="87">
        <v>45691</v>
      </c>
      <c r="P12" s="82" t="s">
        <v>92</v>
      </c>
      <c r="R12" s="122"/>
      <c r="S12" s="127"/>
      <c r="T12" s="122">
        <v>500000</v>
      </c>
      <c r="U12" s="82" t="s">
        <v>8</v>
      </c>
      <c r="V12" s="92" t="s">
        <v>796</v>
      </c>
      <c r="W12" s="102" t="s">
        <v>699</v>
      </c>
      <c r="X12" s="124">
        <v>57738.39</v>
      </c>
      <c r="Y12" s="124">
        <v>154758.44</v>
      </c>
      <c r="Z12" s="124"/>
      <c r="AA12" s="124">
        <v>9972.73</v>
      </c>
      <c r="AB12" s="124"/>
      <c r="AC12" s="124">
        <v>165437.62</v>
      </c>
      <c r="AD12" s="124">
        <v>42069.63</v>
      </c>
      <c r="AE12" s="124">
        <v>11200.59</v>
      </c>
      <c r="AF12" s="124"/>
      <c r="AG12" s="124">
        <v>34715.79</v>
      </c>
      <c r="AH12" s="124">
        <v>6724.05</v>
      </c>
      <c r="AI12" s="124">
        <v>17382.759999999998</v>
      </c>
      <c r="AJ12" s="124"/>
      <c r="AK12" s="124">
        <f t="shared" si="0"/>
        <v>500000.00000000006</v>
      </c>
      <c r="AL12" s="124">
        <f t="shared" si="1"/>
        <v>-500000.00000000006</v>
      </c>
    </row>
    <row r="13" spans="1:38" s="82" customFormat="1" ht="24.9" hidden="1" customHeight="1" x14ac:dyDescent="0.3">
      <c r="A13" s="82">
        <v>12</v>
      </c>
      <c r="B13" s="82" t="s">
        <v>237</v>
      </c>
      <c r="C13" s="82" t="s">
        <v>237</v>
      </c>
      <c r="D13" s="102" t="s">
        <v>245</v>
      </c>
      <c r="E13" s="102" t="s">
        <v>792</v>
      </c>
      <c r="F13" s="231" t="s">
        <v>550</v>
      </c>
      <c r="G13" s="83">
        <v>529</v>
      </c>
      <c r="H13" s="84">
        <v>45108</v>
      </c>
      <c r="I13" s="100">
        <v>45838</v>
      </c>
      <c r="J13" s="84">
        <v>45108</v>
      </c>
      <c r="K13" s="84">
        <v>45473</v>
      </c>
      <c r="L13" s="94" t="s">
        <v>289</v>
      </c>
      <c r="M13" s="86" t="s">
        <v>791</v>
      </c>
      <c r="N13" s="82" t="s">
        <v>1</v>
      </c>
      <c r="O13" s="87">
        <v>45692</v>
      </c>
      <c r="P13" s="82" t="s">
        <v>92</v>
      </c>
      <c r="R13" s="122"/>
      <c r="S13" s="123">
        <v>9021.16</v>
      </c>
      <c r="T13" s="122">
        <v>9021.16</v>
      </c>
      <c r="U13" s="82" t="s">
        <v>8</v>
      </c>
      <c r="V13" s="92" t="s">
        <v>280</v>
      </c>
      <c r="W13" s="102" t="s">
        <v>870</v>
      </c>
      <c r="X13" s="124">
        <v>263.12</v>
      </c>
      <c r="Y13" s="124">
        <v>27.83</v>
      </c>
      <c r="Z13" s="124"/>
      <c r="AA13" s="124">
        <v>287.22000000000003</v>
      </c>
      <c r="AB13" s="124">
        <v>10.71</v>
      </c>
      <c r="AC13" s="124">
        <v>6774.35</v>
      </c>
      <c r="AD13" s="124">
        <v>342.19</v>
      </c>
      <c r="AE13" s="124">
        <v>315.02</v>
      </c>
      <c r="AF13" s="124">
        <v>48.3</v>
      </c>
      <c r="AG13" s="124">
        <v>623.14</v>
      </c>
      <c r="AH13" s="124">
        <v>25.82</v>
      </c>
      <c r="AI13" s="124">
        <v>303.45999999999998</v>
      </c>
      <c r="AJ13" s="124"/>
      <c r="AK13" s="124">
        <f t="shared" si="0"/>
        <v>9021.16</v>
      </c>
      <c r="AL13" s="124">
        <f t="shared" si="1"/>
        <v>0</v>
      </c>
    </row>
    <row r="14" spans="1:38" s="82" customFormat="1" ht="24.9" hidden="1" customHeight="1" x14ac:dyDescent="0.3">
      <c r="A14" s="82">
        <v>13</v>
      </c>
      <c r="B14" s="82" t="s">
        <v>121</v>
      </c>
      <c r="C14" s="82" t="s">
        <v>121</v>
      </c>
      <c r="D14" s="102" t="s">
        <v>694</v>
      </c>
      <c r="E14" s="102" t="s">
        <v>694</v>
      </c>
      <c r="F14" s="231" t="s">
        <v>472</v>
      </c>
      <c r="G14" s="83">
        <v>100</v>
      </c>
      <c r="H14" s="84">
        <v>44967</v>
      </c>
      <c r="I14" s="84">
        <v>46022</v>
      </c>
      <c r="J14" s="84">
        <v>45566</v>
      </c>
      <c r="K14" s="84">
        <v>45657</v>
      </c>
      <c r="L14" s="83" t="s">
        <v>295</v>
      </c>
      <c r="M14" s="102" t="s">
        <v>470</v>
      </c>
      <c r="N14" s="82" t="s">
        <v>1</v>
      </c>
      <c r="O14" s="87">
        <v>45693</v>
      </c>
      <c r="P14" s="82" t="s">
        <v>92</v>
      </c>
      <c r="R14" s="108"/>
      <c r="S14" s="99">
        <v>8224.99</v>
      </c>
      <c r="T14" s="122">
        <v>8224.99</v>
      </c>
      <c r="U14" s="82" t="s">
        <v>38</v>
      </c>
      <c r="V14" s="92"/>
      <c r="W14" s="102"/>
      <c r="X14" s="124">
        <v>1435.83</v>
      </c>
      <c r="Y14" s="124"/>
      <c r="Z14" s="124"/>
      <c r="AA14" s="124"/>
      <c r="AB14" s="124"/>
      <c r="AC14" s="124">
        <v>6052.19</v>
      </c>
      <c r="AD14" s="124"/>
      <c r="AE14" s="124">
        <v>89.23</v>
      </c>
      <c r="AF14" s="124"/>
      <c r="AG14" s="124">
        <v>647.74</v>
      </c>
      <c r="AH14" s="124"/>
      <c r="AI14" s="124"/>
      <c r="AJ14" s="124"/>
      <c r="AK14" s="124">
        <f t="shared" si="0"/>
        <v>8224.99</v>
      </c>
      <c r="AL14" s="124">
        <f t="shared" si="1"/>
        <v>0</v>
      </c>
    </row>
    <row r="15" spans="1:38" s="92" customFormat="1" ht="24.9" hidden="1" customHeight="1" x14ac:dyDescent="0.3">
      <c r="A15" s="82">
        <v>14</v>
      </c>
      <c r="B15" s="92" t="s">
        <v>30</v>
      </c>
      <c r="C15" s="82" t="s">
        <v>30</v>
      </c>
      <c r="D15" s="102" t="s">
        <v>723</v>
      </c>
      <c r="E15" s="102" t="s">
        <v>772</v>
      </c>
      <c r="F15" s="231" t="s">
        <v>375</v>
      </c>
      <c r="G15" s="83">
        <v>176</v>
      </c>
      <c r="H15" s="84">
        <v>45108</v>
      </c>
      <c r="I15" s="84">
        <v>46446</v>
      </c>
      <c r="J15" s="85">
        <v>45474</v>
      </c>
      <c r="K15" s="85">
        <v>45565</v>
      </c>
      <c r="L15" s="85" t="s">
        <v>295</v>
      </c>
      <c r="M15" s="106" t="s">
        <v>374</v>
      </c>
      <c r="N15" s="82" t="s">
        <v>1</v>
      </c>
      <c r="O15" s="87">
        <v>45694</v>
      </c>
      <c r="P15" s="82" t="s">
        <v>2</v>
      </c>
      <c r="Q15" s="82" t="s">
        <v>168</v>
      </c>
      <c r="R15" s="108"/>
      <c r="S15" s="123">
        <v>91000</v>
      </c>
      <c r="T15" s="108">
        <v>91000</v>
      </c>
      <c r="U15" s="82" t="s">
        <v>8</v>
      </c>
      <c r="V15" s="92" t="s">
        <v>280</v>
      </c>
      <c r="W15" s="109" t="s">
        <v>781</v>
      </c>
      <c r="X15" s="110"/>
      <c r="Y15" s="110"/>
      <c r="Z15" s="110"/>
      <c r="AA15" s="110"/>
      <c r="AB15" s="110"/>
      <c r="AC15" s="110">
        <v>91000</v>
      </c>
      <c r="AD15" s="110"/>
      <c r="AE15" s="110"/>
      <c r="AF15" s="110"/>
      <c r="AG15" s="110"/>
      <c r="AH15" s="110"/>
      <c r="AI15" s="110"/>
      <c r="AJ15" s="110"/>
      <c r="AK15" s="124">
        <f t="shared" si="0"/>
        <v>91000</v>
      </c>
      <c r="AL15" s="124">
        <f t="shared" si="1"/>
        <v>0</v>
      </c>
    </row>
    <row r="16" spans="1:38" s="92" customFormat="1" ht="24.9" hidden="1" customHeight="1" x14ac:dyDescent="0.3">
      <c r="A16" s="82">
        <v>15</v>
      </c>
      <c r="B16" s="92" t="s">
        <v>248</v>
      </c>
      <c r="C16" s="92" t="s">
        <v>114</v>
      </c>
      <c r="D16" s="109" t="s">
        <v>733</v>
      </c>
      <c r="E16" s="109" t="s">
        <v>786</v>
      </c>
      <c r="F16" s="231" t="s">
        <v>329</v>
      </c>
      <c r="G16" s="83">
        <v>32</v>
      </c>
      <c r="H16" s="84">
        <v>43067</v>
      </c>
      <c r="I16" s="84">
        <v>45989</v>
      </c>
      <c r="J16" s="85">
        <v>45474</v>
      </c>
      <c r="K16" s="85">
        <v>45565</v>
      </c>
      <c r="L16" s="85" t="s">
        <v>295</v>
      </c>
      <c r="M16" s="86" t="s">
        <v>327</v>
      </c>
      <c r="N16" s="92" t="s">
        <v>1</v>
      </c>
      <c r="O16" s="93">
        <v>45694</v>
      </c>
      <c r="P16" s="92" t="s">
        <v>92</v>
      </c>
      <c r="R16" s="108"/>
      <c r="S16" s="123">
        <v>1102942.19</v>
      </c>
      <c r="T16" s="108">
        <v>1102942.19</v>
      </c>
      <c r="U16" s="92" t="s">
        <v>8</v>
      </c>
      <c r="V16" s="92" t="s">
        <v>280</v>
      </c>
      <c r="W16" s="128"/>
      <c r="X16" s="110">
        <v>26366.71</v>
      </c>
      <c r="Y16" s="110">
        <v>6561.3</v>
      </c>
      <c r="Z16" s="110"/>
      <c r="AA16" s="110">
        <v>5259.93</v>
      </c>
      <c r="AB16" s="110"/>
      <c r="AC16" s="110">
        <f>875000+37500+83108.93</f>
        <v>995608.92999999993</v>
      </c>
      <c r="AD16" s="110">
        <v>35390.019999999997</v>
      </c>
      <c r="AE16" s="110">
        <v>7916.27</v>
      </c>
      <c r="AF16" s="110"/>
      <c r="AG16" s="110">
        <v>24254.720000000001</v>
      </c>
      <c r="AH16" s="110">
        <v>1584.31</v>
      </c>
      <c r="AI16" s="110"/>
      <c r="AJ16" s="110"/>
      <c r="AK16" s="124">
        <f t="shared" si="0"/>
        <v>1102942.19</v>
      </c>
      <c r="AL16" s="124">
        <v>0</v>
      </c>
    </row>
    <row r="17" spans="1:38" s="82" customFormat="1" ht="24.9" customHeight="1" x14ac:dyDescent="0.3">
      <c r="A17" s="82">
        <v>16</v>
      </c>
      <c r="B17" s="82" t="s">
        <v>0</v>
      </c>
      <c r="C17" s="82" t="s">
        <v>0</v>
      </c>
      <c r="D17" s="102" t="s">
        <v>682</v>
      </c>
      <c r="E17" s="102" t="s">
        <v>773</v>
      </c>
      <c r="F17" s="102" t="s">
        <v>984</v>
      </c>
      <c r="G17" s="83">
        <v>341</v>
      </c>
      <c r="H17" s="84">
        <v>42069</v>
      </c>
      <c r="I17" s="84">
        <v>46022</v>
      </c>
      <c r="J17" s="85">
        <v>45474</v>
      </c>
      <c r="K17" s="85">
        <v>45657</v>
      </c>
      <c r="L17" s="85" t="s">
        <v>872</v>
      </c>
      <c r="M17" s="86" t="s">
        <v>685</v>
      </c>
      <c r="N17" s="82" t="s">
        <v>1</v>
      </c>
      <c r="O17" s="87">
        <v>45695</v>
      </c>
      <c r="P17" s="82" t="s">
        <v>2</v>
      </c>
      <c r="Q17" s="82" t="s">
        <v>168</v>
      </c>
      <c r="R17" s="108"/>
      <c r="S17" s="320">
        <v>33900</v>
      </c>
      <c r="T17" s="122">
        <v>33900</v>
      </c>
      <c r="U17" s="82" t="s">
        <v>8</v>
      </c>
      <c r="V17" s="92" t="s">
        <v>280</v>
      </c>
      <c r="W17" s="102" t="s">
        <v>687</v>
      </c>
      <c r="X17" s="124"/>
      <c r="Y17" s="124"/>
      <c r="Z17" s="124"/>
      <c r="AA17" s="124">
        <v>3100</v>
      </c>
      <c r="AB17" s="124"/>
      <c r="AC17" s="124">
        <v>16400</v>
      </c>
      <c r="AD17" s="124">
        <v>11900</v>
      </c>
      <c r="AE17" s="124"/>
      <c r="AF17" s="124"/>
      <c r="AG17" s="124"/>
      <c r="AH17" s="124"/>
      <c r="AI17" s="124">
        <v>2500</v>
      </c>
      <c r="AJ17" s="124"/>
      <c r="AK17" s="124">
        <f t="shared" si="0"/>
        <v>33900</v>
      </c>
      <c r="AL17" s="124">
        <f t="shared" ref="AL17:AL48" si="2">S17-AK17</f>
        <v>0</v>
      </c>
    </row>
    <row r="18" spans="1:38" s="82" customFormat="1" ht="24.9" customHeight="1" x14ac:dyDescent="0.3">
      <c r="A18" s="82">
        <v>17</v>
      </c>
      <c r="B18" s="82" t="s">
        <v>0</v>
      </c>
      <c r="C18" s="82" t="s">
        <v>0</v>
      </c>
      <c r="D18" s="102" t="s">
        <v>683</v>
      </c>
      <c r="E18" s="102" t="s">
        <v>774</v>
      </c>
      <c r="F18" s="231" t="s">
        <v>416</v>
      </c>
      <c r="G18" s="83">
        <v>72</v>
      </c>
      <c r="H18" s="84">
        <v>44914</v>
      </c>
      <c r="I18" s="84">
        <v>46471</v>
      </c>
      <c r="J18" s="85">
        <v>45292</v>
      </c>
      <c r="K18" s="85">
        <v>45657</v>
      </c>
      <c r="L18" s="85" t="s">
        <v>289</v>
      </c>
      <c r="M18" s="86" t="s">
        <v>415</v>
      </c>
      <c r="N18" s="82" t="s">
        <v>1</v>
      </c>
      <c r="O18" s="87">
        <v>45695</v>
      </c>
      <c r="P18" s="82" t="s">
        <v>135</v>
      </c>
      <c r="R18" s="108"/>
      <c r="S18" s="320">
        <v>30473.87</v>
      </c>
      <c r="T18" s="122">
        <v>30473.87</v>
      </c>
      <c r="U18" s="82" t="s">
        <v>8</v>
      </c>
      <c r="V18" s="92" t="s">
        <v>280</v>
      </c>
      <c r="W18" s="102"/>
      <c r="X18" s="124">
        <v>10419.620000000001</v>
      </c>
      <c r="Y18" s="124"/>
      <c r="Z18" s="124"/>
      <c r="AA18" s="124"/>
      <c r="AB18" s="124"/>
      <c r="AC18" s="124">
        <v>4113.45</v>
      </c>
      <c r="AD18" s="124">
        <v>15028.65</v>
      </c>
      <c r="AE18" s="124">
        <v>888.3</v>
      </c>
      <c r="AF18" s="124"/>
      <c r="AG18" s="124"/>
      <c r="AH18" s="124"/>
      <c r="AI18" s="124">
        <v>23.85</v>
      </c>
      <c r="AJ18" s="124"/>
      <c r="AK18" s="124">
        <f t="shared" si="0"/>
        <v>30473.87</v>
      </c>
      <c r="AL18" s="124">
        <f t="shared" si="2"/>
        <v>0</v>
      </c>
    </row>
    <row r="19" spans="1:38" s="92" customFormat="1" ht="24.9" hidden="1" customHeight="1" x14ac:dyDescent="0.3">
      <c r="A19" s="82">
        <v>18</v>
      </c>
      <c r="B19" s="82" t="s">
        <v>17</v>
      </c>
      <c r="C19" s="82" t="s">
        <v>17</v>
      </c>
      <c r="D19" s="102" t="s">
        <v>686</v>
      </c>
      <c r="E19" s="102" t="s">
        <v>871</v>
      </c>
      <c r="F19" s="231" t="s">
        <v>523</v>
      </c>
      <c r="G19" s="83">
        <v>121</v>
      </c>
      <c r="H19" s="84">
        <v>45505</v>
      </c>
      <c r="I19" s="84">
        <v>46599</v>
      </c>
      <c r="J19" s="107">
        <v>45108</v>
      </c>
      <c r="K19" s="107">
        <v>45291</v>
      </c>
      <c r="L19" s="59" t="s">
        <v>872</v>
      </c>
      <c r="M19" s="86" t="s">
        <v>522</v>
      </c>
      <c r="N19" s="82" t="s">
        <v>1</v>
      </c>
      <c r="O19" s="87">
        <v>45698</v>
      </c>
      <c r="P19" s="82" t="s">
        <v>135</v>
      </c>
      <c r="Q19" s="82"/>
      <c r="R19" s="122"/>
      <c r="S19" s="276">
        <v>297436.03999999998</v>
      </c>
      <c r="T19" s="122">
        <v>826881.17</v>
      </c>
      <c r="U19" s="82" t="s">
        <v>8</v>
      </c>
      <c r="V19" s="92" t="s">
        <v>280</v>
      </c>
      <c r="W19" s="109"/>
      <c r="X19" s="110"/>
      <c r="Y19" s="110"/>
      <c r="Z19" s="110"/>
      <c r="AA19" s="110"/>
      <c r="AB19" s="110"/>
      <c r="AC19" s="110">
        <v>297436.03999999998</v>
      </c>
      <c r="AD19" s="110"/>
      <c r="AE19" s="110"/>
      <c r="AF19" s="110"/>
      <c r="AG19" s="110"/>
      <c r="AH19" s="110"/>
      <c r="AI19" s="110"/>
      <c r="AJ19" s="110"/>
      <c r="AK19" s="124">
        <f t="shared" si="0"/>
        <v>297436.03999999998</v>
      </c>
      <c r="AL19" s="124">
        <f t="shared" si="2"/>
        <v>0</v>
      </c>
    </row>
    <row r="20" spans="1:38" s="92" customFormat="1" ht="24.9" hidden="1" customHeight="1" x14ac:dyDescent="0.3">
      <c r="A20" s="82">
        <v>19</v>
      </c>
      <c r="B20" s="82" t="s">
        <v>17</v>
      </c>
      <c r="C20" s="82" t="s">
        <v>17</v>
      </c>
      <c r="D20" s="102" t="s">
        <v>944</v>
      </c>
      <c r="E20" s="58" t="s">
        <v>895</v>
      </c>
      <c r="F20" s="231" t="s">
        <v>978</v>
      </c>
      <c r="G20" s="83">
        <v>11</v>
      </c>
      <c r="H20" s="84">
        <v>45288</v>
      </c>
      <c r="I20" s="84">
        <v>46383</v>
      </c>
      <c r="J20" s="85">
        <v>45108</v>
      </c>
      <c r="K20" s="85">
        <v>45473</v>
      </c>
      <c r="L20" s="85" t="s">
        <v>289</v>
      </c>
      <c r="M20" s="86" t="s">
        <v>302</v>
      </c>
      <c r="N20" s="82" t="s">
        <v>1</v>
      </c>
      <c r="O20" s="87">
        <v>45698</v>
      </c>
      <c r="P20" s="82" t="s">
        <v>135</v>
      </c>
      <c r="Q20" s="82"/>
      <c r="R20" s="108"/>
      <c r="S20" s="320">
        <v>529445.14</v>
      </c>
      <c r="T20" s="122">
        <v>826881.17</v>
      </c>
      <c r="U20" s="82" t="s">
        <v>8</v>
      </c>
      <c r="V20" s="92" t="s">
        <v>280</v>
      </c>
      <c r="W20" s="109"/>
      <c r="X20" s="110"/>
      <c r="Y20" s="110"/>
      <c r="Z20" s="110"/>
      <c r="AA20" s="110"/>
      <c r="AB20" s="110"/>
      <c r="AC20" s="110"/>
      <c r="AD20" s="110">
        <v>529445.14</v>
      </c>
      <c r="AE20" s="110"/>
      <c r="AF20" s="110"/>
      <c r="AG20" s="110"/>
      <c r="AH20" s="110"/>
      <c r="AI20" s="110"/>
      <c r="AJ20" s="110"/>
      <c r="AK20" s="124">
        <f t="shared" si="0"/>
        <v>529445.14</v>
      </c>
      <c r="AL20" s="124">
        <f t="shared" si="2"/>
        <v>0</v>
      </c>
    </row>
    <row r="21" spans="1:38" s="92" customFormat="1" ht="24.9" hidden="1" customHeight="1" x14ac:dyDescent="0.3">
      <c r="A21" s="82">
        <v>20</v>
      </c>
      <c r="B21" s="92" t="s">
        <v>277</v>
      </c>
      <c r="C21" s="92" t="s">
        <v>277</v>
      </c>
      <c r="D21" s="109" t="s">
        <v>873</v>
      </c>
      <c r="E21" s="109" t="s">
        <v>776</v>
      </c>
      <c r="F21" s="109" t="s">
        <v>977</v>
      </c>
      <c r="G21" s="83">
        <v>97</v>
      </c>
      <c r="H21" s="84">
        <v>45736</v>
      </c>
      <c r="I21" s="84">
        <v>46112</v>
      </c>
      <c r="J21" s="85">
        <v>45292</v>
      </c>
      <c r="K21" s="85">
        <v>45657</v>
      </c>
      <c r="L21" s="85" t="s">
        <v>289</v>
      </c>
      <c r="M21" s="95" t="s">
        <v>775</v>
      </c>
      <c r="N21" s="61" t="s">
        <v>1</v>
      </c>
      <c r="O21" s="93">
        <v>45699</v>
      </c>
      <c r="P21" s="92" t="s">
        <v>135</v>
      </c>
      <c r="R21" s="108"/>
      <c r="S21" s="99">
        <v>73114.19</v>
      </c>
      <c r="T21" s="108">
        <v>73114.19</v>
      </c>
      <c r="U21" s="92" t="s">
        <v>8</v>
      </c>
      <c r="V21" s="92" t="s">
        <v>280</v>
      </c>
      <c r="W21" s="109" t="s">
        <v>777</v>
      </c>
      <c r="X21" s="110">
        <v>4901.04</v>
      </c>
      <c r="Y21" s="110"/>
      <c r="Z21" s="110"/>
      <c r="AA21" s="110"/>
      <c r="AB21" s="110"/>
      <c r="AC21" s="110">
        <f>1561.025+4693.7</f>
        <v>6254.7250000000004</v>
      </c>
      <c r="AD21" s="110">
        <v>52050.974999999999</v>
      </c>
      <c r="AE21" s="110"/>
      <c r="AF21" s="110">
        <v>8250.4500000000007</v>
      </c>
      <c r="AG21" s="110"/>
      <c r="AH21" s="110">
        <v>718.875</v>
      </c>
      <c r="AI21" s="110">
        <f>753.55+184.575</f>
        <v>938.125</v>
      </c>
      <c r="AJ21" s="110"/>
      <c r="AK21" s="124">
        <f t="shared" si="0"/>
        <v>73114.19</v>
      </c>
      <c r="AL21" s="124">
        <f t="shared" si="2"/>
        <v>0</v>
      </c>
    </row>
    <row r="22" spans="1:38" s="92" customFormat="1" ht="24.9" hidden="1" customHeight="1" x14ac:dyDescent="0.3">
      <c r="A22" s="82">
        <v>21</v>
      </c>
      <c r="B22" s="92" t="s">
        <v>30</v>
      </c>
      <c r="C22" s="82" t="s">
        <v>30</v>
      </c>
      <c r="D22" s="102" t="s">
        <v>696</v>
      </c>
      <c r="E22" s="102" t="s">
        <v>874</v>
      </c>
      <c r="F22" s="102" t="s">
        <v>981</v>
      </c>
      <c r="G22" s="83">
        <v>244</v>
      </c>
      <c r="H22" s="84">
        <v>42061</v>
      </c>
      <c r="I22" s="84">
        <v>46446</v>
      </c>
      <c r="J22" s="85">
        <v>45474</v>
      </c>
      <c r="K22" s="85">
        <v>45565</v>
      </c>
      <c r="L22" s="94" t="s">
        <v>295</v>
      </c>
      <c r="M22" s="86" t="s">
        <v>380</v>
      </c>
      <c r="N22" s="82" t="s">
        <v>1</v>
      </c>
      <c r="O22" s="87">
        <v>45701</v>
      </c>
      <c r="P22" s="82" t="s">
        <v>2</v>
      </c>
      <c r="Q22" s="82" t="s">
        <v>168</v>
      </c>
      <c r="R22" s="108"/>
      <c r="S22" s="99">
        <v>45000</v>
      </c>
      <c r="T22" s="108">
        <v>45000</v>
      </c>
      <c r="U22" s="82" t="s">
        <v>8</v>
      </c>
      <c r="V22" s="92" t="s">
        <v>280</v>
      </c>
      <c r="W22" s="109" t="s">
        <v>705</v>
      </c>
      <c r="X22" s="110"/>
      <c r="Y22" s="110"/>
      <c r="Z22" s="110"/>
      <c r="AA22" s="110"/>
      <c r="AB22" s="110"/>
      <c r="AC22" s="110">
        <v>27000</v>
      </c>
      <c r="AD22" s="110">
        <v>18000</v>
      </c>
      <c r="AE22" s="110"/>
      <c r="AF22" s="110"/>
      <c r="AG22" s="110"/>
      <c r="AH22" s="110"/>
      <c r="AI22" s="110"/>
      <c r="AJ22" s="110"/>
      <c r="AK22" s="124">
        <f t="shared" si="0"/>
        <v>45000</v>
      </c>
      <c r="AL22" s="124">
        <f t="shared" si="2"/>
        <v>0</v>
      </c>
    </row>
    <row r="23" spans="1:38" s="92" customFormat="1" ht="24.9" customHeight="1" x14ac:dyDescent="0.3">
      <c r="A23" s="82">
        <v>22</v>
      </c>
      <c r="B23" s="82" t="s">
        <v>0</v>
      </c>
      <c r="C23" s="82" t="s">
        <v>0</v>
      </c>
      <c r="D23" s="102" t="s">
        <v>698</v>
      </c>
      <c r="E23" s="102" t="s">
        <v>863</v>
      </c>
      <c r="F23" s="102" t="s">
        <v>983</v>
      </c>
      <c r="G23" s="83">
        <v>133</v>
      </c>
      <c r="H23" s="84">
        <v>45322</v>
      </c>
      <c r="I23" s="84">
        <v>45961</v>
      </c>
      <c r="J23" s="85">
        <v>45566</v>
      </c>
      <c r="K23" s="85">
        <v>45627</v>
      </c>
      <c r="L23" s="83" t="s">
        <v>295</v>
      </c>
      <c r="M23" s="91" t="s">
        <v>286</v>
      </c>
      <c r="N23" s="82" t="s">
        <v>1</v>
      </c>
      <c r="O23" s="87">
        <v>45702</v>
      </c>
      <c r="P23" s="82" t="s">
        <v>2</v>
      </c>
      <c r="Q23" s="82" t="s">
        <v>166</v>
      </c>
      <c r="R23" s="82"/>
      <c r="S23" s="320">
        <v>326000</v>
      </c>
      <c r="T23" s="108">
        <v>326000</v>
      </c>
      <c r="U23" s="82" t="s">
        <v>8</v>
      </c>
      <c r="V23" s="92" t="s">
        <v>280</v>
      </c>
      <c r="W23" s="109"/>
      <c r="X23" s="110"/>
      <c r="Y23" s="110"/>
      <c r="Z23" s="110"/>
      <c r="AA23" s="110"/>
      <c r="AB23" s="110"/>
      <c r="AC23" s="110"/>
      <c r="AD23" s="124">
        <v>326000</v>
      </c>
      <c r="AE23" s="110"/>
      <c r="AF23" s="110"/>
      <c r="AG23" s="110"/>
      <c r="AH23" s="110"/>
      <c r="AI23" s="110"/>
      <c r="AJ23" s="110"/>
      <c r="AK23" s="124">
        <f t="shared" si="0"/>
        <v>326000</v>
      </c>
      <c r="AL23" s="124">
        <f t="shared" si="2"/>
        <v>0</v>
      </c>
    </row>
    <row r="24" spans="1:38" s="82" customFormat="1" ht="24.9" hidden="1" customHeight="1" x14ac:dyDescent="0.3">
      <c r="A24" s="82">
        <v>23</v>
      </c>
      <c r="B24" s="82" t="s">
        <v>10</v>
      </c>
      <c r="C24" s="82" t="s">
        <v>10</v>
      </c>
      <c r="D24" s="102" t="s">
        <v>697</v>
      </c>
      <c r="E24" s="102" t="s">
        <v>875</v>
      </c>
      <c r="F24" s="102" t="s">
        <v>982</v>
      </c>
      <c r="G24" s="83">
        <v>101</v>
      </c>
      <c r="H24" s="84">
        <v>42881</v>
      </c>
      <c r="I24" s="84">
        <v>46112</v>
      </c>
      <c r="J24" s="85">
        <v>45566</v>
      </c>
      <c r="K24" s="85">
        <v>45657</v>
      </c>
      <c r="L24" s="94" t="s">
        <v>295</v>
      </c>
      <c r="M24" s="86" t="s">
        <v>475</v>
      </c>
      <c r="N24" s="82" t="s">
        <v>1</v>
      </c>
      <c r="O24" s="87">
        <v>45702</v>
      </c>
      <c r="P24" s="82" t="s">
        <v>2</v>
      </c>
      <c r="Q24" s="82" t="s">
        <v>168</v>
      </c>
      <c r="R24" s="122"/>
      <c r="S24" s="123">
        <v>372000</v>
      </c>
      <c r="T24" s="122">
        <v>372000</v>
      </c>
      <c r="U24" s="82" t="s">
        <v>8</v>
      </c>
      <c r="V24" s="92" t="s">
        <v>280</v>
      </c>
      <c r="W24" s="102"/>
      <c r="X24" s="124"/>
      <c r="Y24" s="124"/>
      <c r="Z24" s="124"/>
      <c r="AA24" s="124"/>
      <c r="AB24" s="124"/>
      <c r="AC24" s="124">
        <v>372000</v>
      </c>
      <c r="AD24" s="124"/>
      <c r="AE24" s="124"/>
      <c r="AF24" s="124"/>
      <c r="AG24" s="124"/>
      <c r="AH24" s="124"/>
      <c r="AI24" s="124"/>
      <c r="AJ24" s="124"/>
      <c r="AK24" s="124">
        <f t="shared" si="0"/>
        <v>372000</v>
      </c>
      <c r="AL24" s="124">
        <f t="shared" si="2"/>
        <v>0</v>
      </c>
    </row>
    <row r="25" spans="1:38" s="92" customFormat="1" ht="24.9" hidden="1" customHeight="1" x14ac:dyDescent="0.3">
      <c r="A25" s="82">
        <v>24</v>
      </c>
      <c r="B25" s="92" t="s">
        <v>30</v>
      </c>
      <c r="C25" s="92" t="s">
        <v>30</v>
      </c>
      <c r="D25" s="109" t="s">
        <v>700</v>
      </c>
      <c r="E25" s="109" t="s">
        <v>874</v>
      </c>
      <c r="F25" s="109" t="s">
        <v>981</v>
      </c>
      <c r="G25" s="83">
        <v>244</v>
      </c>
      <c r="H25" s="84">
        <v>42061</v>
      </c>
      <c r="I25" s="84">
        <v>46446</v>
      </c>
      <c r="J25" s="85">
        <v>45566</v>
      </c>
      <c r="K25" s="85">
        <v>45657</v>
      </c>
      <c r="L25" s="94" t="s">
        <v>295</v>
      </c>
      <c r="M25" s="106" t="s">
        <v>380</v>
      </c>
      <c r="N25" s="92" t="s">
        <v>1</v>
      </c>
      <c r="O25" s="93">
        <v>45708</v>
      </c>
      <c r="P25" s="92" t="s">
        <v>2</v>
      </c>
      <c r="Q25" s="92" t="s">
        <v>168</v>
      </c>
      <c r="R25" s="108"/>
      <c r="S25" s="123">
        <v>90392</v>
      </c>
      <c r="T25" s="108">
        <v>90392</v>
      </c>
      <c r="U25" s="92" t="s">
        <v>8</v>
      </c>
      <c r="V25" s="92" t="s">
        <v>280</v>
      </c>
      <c r="W25" s="109" t="s">
        <v>1157</v>
      </c>
      <c r="X25" s="110"/>
      <c r="Y25" s="110"/>
      <c r="Z25" s="110"/>
      <c r="AA25" s="110"/>
      <c r="AB25" s="110"/>
      <c r="AC25" s="110">
        <f>15992+30000+15000+7000</f>
        <v>67992</v>
      </c>
      <c r="AD25" s="110">
        <f>4000+8000+3200</f>
        <v>15200</v>
      </c>
      <c r="AE25" s="110">
        <v>4800</v>
      </c>
      <c r="AF25" s="110"/>
      <c r="AG25" s="110"/>
      <c r="AH25" s="110"/>
      <c r="AI25" s="110">
        <v>2400</v>
      </c>
      <c r="AJ25" s="110"/>
      <c r="AK25" s="124">
        <f t="shared" si="0"/>
        <v>90392</v>
      </c>
      <c r="AL25" s="124">
        <f t="shared" si="2"/>
        <v>0</v>
      </c>
    </row>
    <row r="26" spans="1:38" s="92" customFormat="1" ht="24.9" hidden="1" customHeight="1" x14ac:dyDescent="0.3">
      <c r="A26" s="82">
        <v>25</v>
      </c>
      <c r="B26" s="82" t="s">
        <v>117</v>
      </c>
      <c r="C26" s="82" t="s">
        <v>117</v>
      </c>
      <c r="D26" s="102" t="s">
        <v>707</v>
      </c>
      <c r="E26" s="102" t="s">
        <v>782</v>
      </c>
      <c r="F26" s="231" t="s">
        <v>342</v>
      </c>
      <c r="G26" s="83">
        <v>37</v>
      </c>
      <c r="H26" s="84">
        <v>43635</v>
      </c>
      <c r="I26" s="83" t="s">
        <v>876</v>
      </c>
      <c r="J26" s="85">
        <v>45566</v>
      </c>
      <c r="K26" s="85">
        <v>45657</v>
      </c>
      <c r="L26" s="85" t="s">
        <v>295</v>
      </c>
      <c r="M26" s="106" t="s">
        <v>708</v>
      </c>
      <c r="N26" s="92" t="s">
        <v>1</v>
      </c>
      <c r="O26" s="93">
        <v>45709</v>
      </c>
      <c r="P26" s="92" t="s">
        <v>2</v>
      </c>
      <c r="Q26" s="92" t="s">
        <v>680</v>
      </c>
      <c r="R26" s="108"/>
      <c r="S26" s="123">
        <v>27186.28</v>
      </c>
      <c r="T26" s="108">
        <v>27186.28</v>
      </c>
      <c r="U26" s="92" t="s">
        <v>8</v>
      </c>
      <c r="V26" s="92" t="s">
        <v>280</v>
      </c>
      <c r="W26" s="109" t="s">
        <v>709</v>
      </c>
      <c r="X26" s="110"/>
      <c r="Y26" s="110"/>
      <c r="Z26" s="110"/>
      <c r="AA26" s="110"/>
      <c r="AB26" s="110"/>
      <c r="AC26" s="110">
        <v>15160.81</v>
      </c>
      <c r="AD26" s="110"/>
      <c r="AE26" s="110">
        <v>594.67999999999995</v>
      </c>
      <c r="AF26" s="110"/>
      <c r="AG26" s="110">
        <v>10110.209999999999</v>
      </c>
      <c r="AH26" s="110"/>
      <c r="AI26" s="110">
        <v>1320.58</v>
      </c>
      <c r="AJ26" s="110"/>
      <c r="AK26" s="124">
        <f t="shared" si="0"/>
        <v>27186.28</v>
      </c>
      <c r="AL26" s="124">
        <f t="shared" si="2"/>
        <v>0</v>
      </c>
    </row>
    <row r="27" spans="1:38" s="82" customFormat="1" ht="24.9" customHeight="1" x14ac:dyDescent="0.3">
      <c r="A27" s="82">
        <v>26</v>
      </c>
      <c r="B27" s="82" t="s">
        <v>0</v>
      </c>
      <c r="C27" s="82" t="s">
        <v>0</v>
      </c>
      <c r="D27" s="102" t="s">
        <v>729</v>
      </c>
      <c r="E27" s="102" t="s">
        <v>774</v>
      </c>
      <c r="F27" s="231" t="s">
        <v>416</v>
      </c>
      <c r="G27" s="83">
        <v>72</v>
      </c>
      <c r="H27" s="84">
        <v>44914</v>
      </c>
      <c r="I27" s="84">
        <v>46471</v>
      </c>
      <c r="J27" s="85">
        <v>45292</v>
      </c>
      <c r="K27" s="85">
        <v>45657</v>
      </c>
      <c r="L27" s="85" t="s">
        <v>289</v>
      </c>
      <c r="M27" s="86" t="s">
        <v>415</v>
      </c>
      <c r="N27" s="82" t="s">
        <v>1</v>
      </c>
      <c r="O27" s="87">
        <v>45709</v>
      </c>
      <c r="P27" s="82" t="s">
        <v>135</v>
      </c>
      <c r="R27" s="122"/>
      <c r="S27" s="319">
        <v>51748.800000000003</v>
      </c>
      <c r="T27" s="122">
        <v>51748.800000000003</v>
      </c>
      <c r="U27" s="82" t="s">
        <v>8</v>
      </c>
      <c r="V27" s="92" t="s">
        <v>280</v>
      </c>
      <c r="W27" s="102"/>
      <c r="X27" s="124"/>
      <c r="Y27" s="124"/>
      <c r="Z27" s="124"/>
      <c r="AA27" s="124"/>
      <c r="AB27" s="124">
        <f>1748+3496</f>
        <v>5244</v>
      </c>
      <c r="AC27" s="124">
        <f>7711+3404+5348+6670</f>
        <v>23133</v>
      </c>
      <c r="AD27" s="124">
        <f>230+460</f>
        <v>690</v>
      </c>
      <c r="AE27" s="124">
        <f>1613+276+2080+870</f>
        <v>4839</v>
      </c>
      <c r="AF27" s="124">
        <f>4815.6+7296+2335.2</f>
        <v>14446.8</v>
      </c>
      <c r="AG27" s="124"/>
      <c r="AH27" s="124"/>
      <c r="AI27" s="124">
        <f>1132+184+2080</f>
        <v>3396</v>
      </c>
      <c r="AJ27" s="124"/>
      <c r="AK27" s="124">
        <f t="shared" si="0"/>
        <v>51748.800000000003</v>
      </c>
      <c r="AL27" s="124">
        <f t="shared" si="2"/>
        <v>0</v>
      </c>
    </row>
    <row r="28" spans="1:38" s="92" customFormat="1" ht="24.9" hidden="1" customHeight="1" x14ac:dyDescent="0.3">
      <c r="A28" s="82">
        <v>27</v>
      </c>
      <c r="B28" s="92" t="s">
        <v>108</v>
      </c>
      <c r="C28" s="82" t="s">
        <v>108</v>
      </c>
      <c r="D28" s="102" t="s">
        <v>701</v>
      </c>
      <c r="E28" s="102" t="s">
        <v>877</v>
      </c>
      <c r="F28" s="231" t="s">
        <v>408</v>
      </c>
      <c r="G28" s="83">
        <v>68</v>
      </c>
      <c r="H28" s="84">
        <v>44927</v>
      </c>
      <c r="I28" s="84">
        <v>46022</v>
      </c>
      <c r="J28" s="85">
        <v>45444</v>
      </c>
      <c r="K28" s="85">
        <v>45657</v>
      </c>
      <c r="L28" s="94" t="s">
        <v>872</v>
      </c>
      <c r="M28" s="106" t="s">
        <v>407</v>
      </c>
      <c r="N28" s="82" t="s">
        <v>1</v>
      </c>
      <c r="O28" s="87">
        <v>45714</v>
      </c>
      <c r="P28" s="82" t="s">
        <v>275</v>
      </c>
      <c r="Q28" s="82"/>
      <c r="R28" s="108"/>
      <c r="S28" s="99">
        <v>204299.55</v>
      </c>
      <c r="T28" s="108">
        <v>204299.55</v>
      </c>
      <c r="U28" s="82" t="s">
        <v>8</v>
      </c>
      <c r="V28" s="92" t="s">
        <v>27</v>
      </c>
      <c r="W28" s="109"/>
      <c r="X28" s="110">
        <v>21598.41</v>
      </c>
      <c r="Y28" s="110"/>
      <c r="Z28" s="110"/>
      <c r="AA28" s="110"/>
      <c r="AB28" s="110"/>
      <c r="AC28" s="110">
        <v>140842.43</v>
      </c>
      <c r="AD28" s="108">
        <v>30708.18</v>
      </c>
      <c r="AE28" s="110">
        <v>11150.53</v>
      </c>
      <c r="AF28" s="110"/>
      <c r="AG28" s="110"/>
      <c r="AH28" s="110"/>
      <c r="AI28" s="110"/>
      <c r="AJ28" s="110"/>
      <c r="AK28" s="124">
        <f t="shared" si="0"/>
        <v>204299.55</v>
      </c>
      <c r="AL28" s="124">
        <f t="shared" si="2"/>
        <v>0</v>
      </c>
    </row>
    <row r="29" spans="1:38" s="82" customFormat="1" ht="24.9" hidden="1" customHeight="1" x14ac:dyDescent="0.3">
      <c r="A29" s="82">
        <v>28</v>
      </c>
      <c r="B29" s="82" t="s">
        <v>237</v>
      </c>
      <c r="C29" s="82" t="s">
        <v>237</v>
      </c>
      <c r="D29" s="102" t="s">
        <v>702</v>
      </c>
      <c r="E29" s="102" t="s">
        <v>815</v>
      </c>
      <c r="F29" s="231" t="s">
        <v>975</v>
      </c>
      <c r="G29" s="83">
        <v>529</v>
      </c>
      <c r="H29" s="84">
        <v>44743</v>
      </c>
      <c r="I29" s="84">
        <v>46022</v>
      </c>
      <c r="J29" s="84">
        <v>45658</v>
      </c>
      <c r="K29" s="84">
        <v>45688</v>
      </c>
      <c r="L29" s="83" t="s">
        <v>337</v>
      </c>
      <c r="M29" s="86" t="s">
        <v>793</v>
      </c>
      <c r="N29" s="82" t="s">
        <v>1</v>
      </c>
      <c r="O29" s="87">
        <v>45715</v>
      </c>
      <c r="P29" s="82" t="s">
        <v>92</v>
      </c>
      <c r="R29" s="122"/>
      <c r="S29" s="123">
        <v>4525.8900000000003</v>
      </c>
      <c r="T29" s="122">
        <v>4525.8900000000003</v>
      </c>
      <c r="U29" s="82" t="s">
        <v>8</v>
      </c>
      <c r="V29" s="92" t="s">
        <v>280</v>
      </c>
      <c r="W29" s="109"/>
      <c r="X29" s="124">
        <f>3.64+26.02+0.24+271.81</f>
        <v>301.70999999999998</v>
      </c>
      <c r="Y29" s="124">
        <v>50.75</v>
      </c>
      <c r="Z29" s="124"/>
      <c r="AA29" s="124">
        <f>0.73+269.47</f>
        <v>270.20000000000005</v>
      </c>
      <c r="AB29" s="124">
        <f>13.22+12.25+2.73</f>
        <v>28.2</v>
      </c>
      <c r="AC29" s="124">
        <f>11.86+0.73+0.73+1.76+20.67+2112.81+2.93</f>
        <v>2151.4899999999998</v>
      </c>
      <c r="AD29" s="124">
        <f>1.53+429.29</f>
        <v>430.82</v>
      </c>
      <c r="AE29" s="124">
        <v>210.99</v>
      </c>
      <c r="AF29" s="124">
        <v>93.42</v>
      </c>
      <c r="AG29" s="124">
        <f>606.41+1.53+4.36</f>
        <v>612.29999999999995</v>
      </c>
      <c r="AH29" s="124">
        <v>43.03</v>
      </c>
      <c r="AI29" s="124">
        <v>314.39999999999998</v>
      </c>
      <c r="AJ29" s="124">
        <v>18.579999999999998</v>
      </c>
      <c r="AK29" s="124">
        <f t="shared" si="0"/>
        <v>4525.8899999999994</v>
      </c>
      <c r="AL29" s="124">
        <f t="shared" si="2"/>
        <v>0</v>
      </c>
    </row>
    <row r="30" spans="1:38" s="92" customFormat="1" ht="24.9" customHeight="1" x14ac:dyDescent="0.3">
      <c r="A30" s="82">
        <v>29</v>
      </c>
      <c r="B30" s="92" t="s">
        <v>0</v>
      </c>
      <c r="C30" s="82" t="s">
        <v>0</v>
      </c>
      <c r="D30" s="102" t="s">
        <v>703</v>
      </c>
      <c r="E30" s="102" t="s">
        <v>770</v>
      </c>
      <c r="F30" s="102" t="s">
        <v>985</v>
      </c>
      <c r="G30" s="94">
        <v>541</v>
      </c>
      <c r="H30" s="84">
        <v>44287</v>
      </c>
      <c r="I30" s="84">
        <v>46660</v>
      </c>
      <c r="J30" s="85">
        <v>45566</v>
      </c>
      <c r="K30" s="85">
        <v>45657</v>
      </c>
      <c r="L30" s="94" t="s">
        <v>295</v>
      </c>
      <c r="M30" s="86" t="s">
        <v>679</v>
      </c>
      <c r="N30" s="82" t="s">
        <v>1</v>
      </c>
      <c r="O30" s="87">
        <v>45716</v>
      </c>
      <c r="P30" s="82" t="s">
        <v>2</v>
      </c>
      <c r="Q30" s="82" t="s">
        <v>166</v>
      </c>
      <c r="R30" s="213" t="s">
        <v>955</v>
      </c>
      <c r="S30" s="319">
        <v>180516.5</v>
      </c>
      <c r="T30" s="108">
        <v>180516.5</v>
      </c>
      <c r="U30" s="82" t="s">
        <v>8</v>
      </c>
      <c r="V30" s="129" t="s">
        <v>798</v>
      </c>
      <c r="W30" s="125" t="s">
        <v>797</v>
      </c>
      <c r="X30" s="110"/>
      <c r="Y30" s="110"/>
      <c r="Z30" s="110"/>
      <c r="AA30" s="110">
        <v>196.91</v>
      </c>
      <c r="AB30" s="110"/>
      <c r="AC30" s="110">
        <v>70656.259999999995</v>
      </c>
      <c r="AD30" s="110">
        <v>87591.44</v>
      </c>
      <c r="AE30" s="110">
        <v>1203.3599999999999</v>
      </c>
      <c r="AF30" s="110"/>
      <c r="AG30" s="110"/>
      <c r="AH30" s="110"/>
      <c r="AI30" s="110">
        <v>20868.53</v>
      </c>
      <c r="AJ30" s="110"/>
      <c r="AK30" s="124">
        <f t="shared" si="0"/>
        <v>180516.49999999997</v>
      </c>
      <c r="AL30" s="124">
        <f t="shared" si="2"/>
        <v>0</v>
      </c>
    </row>
    <row r="31" spans="1:38" s="82" customFormat="1" ht="24" customHeight="1" x14ac:dyDescent="0.3">
      <c r="A31" s="82">
        <v>30</v>
      </c>
      <c r="B31" s="82" t="s">
        <v>0</v>
      </c>
      <c r="C31" s="82" t="s">
        <v>0</v>
      </c>
      <c r="D31" s="102" t="s">
        <v>704</v>
      </c>
      <c r="E31" s="102" t="s">
        <v>770</v>
      </c>
      <c r="F31" s="231" t="s">
        <v>426</v>
      </c>
      <c r="G31" s="83">
        <v>83</v>
      </c>
      <c r="H31" s="84">
        <v>44287</v>
      </c>
      <c r="I31" s="84">
        <v>46660</v>
      </c>
      <c r="J31" s="85">
        <v>45566</v>
      </c>
      <c r="K31" s="85">
        <v>45657</v>
      </c>
      <c r="L31" s="94" t="s">
        <v>295</v>
      </c>
      <c r="M31" s="86" t="s">
        <v>679</v>
      </c>
      <c r="N31" s="82" t="s">
        <v>1</v>
      </c>
      <c r="O31" s="87">
        <v>45716</v>
      </c>
      <c r="P31" s="82" t="s">
        <v>2</v>
      </c>
      <c r="Q31" s="82" t="s">
        <v>166</v>
      </c>
      <c r="R31" s="122"/>
      <c r="S31" s="319">
        <v>22950</v>
      </c>
      <c r="T31" s="122">
        <v>22950</v>
      </c>
      <c r="U31" s="82" t="s">
        <v>8</v>
      </c>
      <c r="V31" s="92" t="s">
        <v>280</v>
      </c>
      <c r="W31" s="109"/>
      <c r="X31" s="124"/>
      <c r="Y31" s="124"/>
      <c r="Z31" s="124"/>
      <c r="AA31" s="124">
        <v>6750</v>
      </c>
      <c r="AB31" s="124"/>
      <c r="AC31" s="124"/>
      <c r="AD31" s="124">
        <v>15750</v>
      </c>
      <c r="AE31" s="124"/>
      <c r="AF31" s="124"/>
      <c r="AG31" s="124"/>
      <c r="AH31" s="124"/>
      <c r="AI31" s="124">
        <v>450</v>
      </c>
      <c r="AJ31" s="124"/>
      <c r="AK31" s="124">
        <f t="shared" si="0"/>
        <v>22950</v>
      </c>
      <c r="AL31" s="124">
        <f t="shared" si="2"/>
        <v>0</v>
      </c>
    </row>
    <row r="32" spans="1:38" s="82" customFormat="1" ht="24.9" hidden="1" customHeight="1" x14ac:dyDescent="0.3">
      <c r="A32" s="82">
        <v>31</v>
      </c>
      <c r="B32" s="82" t="s">
        <v>17</v>
      </c>
      <c r="C32" s="82" t="s">
        <v>17</v>
      </c>
      <c r="D32" s="102" t="s">
        <v>706</v>
      </c>
      <c r="E32" s="102" t="s">
        <v>878</v>
      </c>
      <c r="F32" s="231" t="s">
        <v>306</v>
      </c>
      <c r="G32" s="83">
        <v>12</v>
      </c>
      <c r="H32" s="84">
        <v>41852</v>
      </c>
      <c r="I32" s="84">
        <v>46599</v>
      </c>
      <c r="J32" s="85">
        <v>45500</v>
      </c>
      <c r="K32" s="85">
        <v>45590</v>
      </c>
      <c r="L32" s="94" t="s">
        <v>295</v>
      </c>
      <c r="M32" s="86" t="s">
        <v>305</v>
      </c>
      <c r="N32" s="82" t="s">
        <v>1</v>
      </c>
      <c r="O32" s="87">
        <v>45719</v>
      </c>
      <c r="P32" s="82" t="s">
        <v>2</v>
      </c>
      <c r="Q32" s="82" t="s">
        <v>168</v>
      </c>
      <c r="R32" s="122"/>
      <c r="S32" s="319">
        <f>$T$32</f>
        <v>84000</v>
      </c>
      <c r="T32" s="122">
        <v>84000</v>
      </c>
      <c r="U32" s="82" t="s">
        <v>16</v>
      </c>
      <c r="V32" s="92" t="s">
        <v>280</v>
      </c>
      <c r="W32" s="102"/>
      <c r="X32" s="124"/>
      <c r="Y32" s="124"/>
      <c r="Z32" s="124"/>
      <c r="AA32" s="124"/>
      <c r="AB32" s="124"/>
      <c r="AC32" s="124">
        <v>84000</v>
      </c>
      <c r="AD32" s="124"/>
      <c r="AE32" s="124"/>
      <c r="AF32" s="124"/>
      <c r="AG32" s="124"/>
      <c r="AH32" s="124"/>
      <c r="AI32" s="124"/>
      <c r="AJ32" s="124"/>
      <c r="AK32" s="124">
        <f t="shared" si="0"/>
        <v>84000</v>
      </c>
      <c r="AL32" s="124">
        <f t="shared" si="2"/>
        <v>0</v>
      </c>
    </row>
    <row r="33" spans="1:38" s="92" customFormat="1" ht="24.9" hidden="1" customHeight="1" x14ac:dyDescent="0.3">
      <c r="A33" s="82">
        <v>32</v>
      </c>
      <c r="B33" s="92" t="s">
        <v>80</v>
      </c>
      <c r="C33" s="92" t="s">
        <v>80</v>
      </c>
      <c r="D33" s="109" t="s">
        <v>754</v>
      </c>
      <c r="E33" s="109"/>
      <c r="F33" s="109" t="s">
        <v>973</v>
      </c>
      <c r="G33" s="83"/>
      <c r="H33" s="83"/>
      <c r="I33" s="83"/>
      <c r="J33" s="94"/>
      <c r="K33" s="94"/>
      <c r="L33" s="94"/>
      <c r="M33" s="109" t="s">
        <v>879</v>
      </c>
      <c r="N33" s="92" t="s">
        <v>1</v>
      </c>
      <c r="O33" s="93">
        <v>45721</v>
      </c>
      <c r="P33" s="92" t="s">
        <v>92</v>
      </c>
      <c r="R33" s="108"/>
      <c r="S33" s="130"/>
      <c r="T33" s="108">
        <v>900167.83</v>
      </c>
      <c r="U33" s="92" t="s">
        <v>16</v>
      </c>
      <c r="W33" s="109" t="s">
        <v>892</v>
      </c>
      <c r="X33" s="110">
        <v>108344.9</v>
      </c>
      <c r="Y33" s="110">
        <v>41015.94</v>
      </c>
      <c r="Z33" s="110"/>
      <c r="AA33" s="110">
        <v>29945.8</v>
      </c>
      <c r="AB33" s="110"/>
      <c r="AC33" s="110">
        <v>296713.15000000002</v>
      </c>
      <c r="AD33" s="110">
        <v>74912.91</v>
      </c>
      <c r="AE33" s="110">
        <v>107118.83</v>
      </c>
      <c r="AF33" s="110"/>
      <c r="AG33" s="110">
        <v>86144.76</v>
      </c>
      <c r="AH33" s="110">
        <v>33246.58</v>
      </c>
      <c r="AI33" s="110">
        <v>122724.96</v>
      </c>
      <c r="AJ33" s="110"/>
      <c r="AK33" s="124">
        <f t="shared" si="0"/>
        <v>900167.83</v>
      </c>
      <c r="AL33" s="124">
        <f t="shared" si="2"/>
        <v>-900167.83</v>
      </c>
    </row>
    <row r="34" spans="1:38" s="82" customFormat="1" ht="24.9" hidden="1" customHeight="1" x14ac:dyDescent="0.3">
      <c r="A34" s="82">
        <v>33</v>
      </c>
      <c r="B34" s="82" t="s">
        <v>100</v>
      </c>
      <c r="C34" s="82" t="s">
        <v>100</v>
      </c>
      <c r="D34" s="102" t="s">
        <v>284</v>
      </c>
      <c r="E34" s="102" t="s">
        <v>768</v>
      </c>
      <c r="F34" s="231" t="s">
        <v>408</v>
      </c>
      <c r="G34" s="126">
        <v>90</v>
      </c>
      <c r="H34" s="84">
        <v>41108</v>
      </c>
      <c r="I34" s="84">
        <v>46203</v>
      </c>
      <c r="J34" s="83"/>
      <c r="K34" s="83"/>
      <c r="L34" s="85" t="s">
        <v>295</v>
      </c>
      <c r="M34" s="91" t="s">
        <v>283</v>
      </c>
      <c r="N34" s="82" t="s">
        <v>1</v>
      </c>
      <c r="O34" s="87">
        <v>45721</v>
      </c>
      <c r="P34" s="82" t="s">
        <v>275</v>
      </c>
      <c r="R34" s="122"/>
      <c r="S34" s="123">
        <v>10500</v>
      </c>
      <c r="T34" s="122">
        <v>10500</v>
      </c>
      <c r="U34" s="82" t="s">
        <v>16</v>
      </c>
      <c r="V34" s="92" t="s">
        <v>280</v>
      </c>
      <c r="W34" s="102"/>
      <c r="X34" s="124"/>
      <c r="Y34" s="124"/>
      <c r="Z34" s="124"/>
      <c r="AA34" s="124"/>
      <c r="AB34" s="124"/>
      <c r="AC34" s="124">
        <v>10500</v>
      </c>
      <c r="AD34" s="124"/>
      <c r="AE34" s="124"/>
      <c r="AF34" s="124"/>
      <c r="AG34" s="124"/>
      <c r="AH34" s="124"/>
      <c r="AI34" s="124"/>
      <c r="AJ34" s="124"/>
      <c r="AK34" s="124">
        <f t="shared" ref="AK34:AK65" si="3">SUM(X34:AJ34)</f>
        <v>10500</v>
      </c>
      <c r="AL34" s="124">
        <f t="shared" si="2"/>
        <v>0</v>
      </c>
    </row>
    <row r="35" spans="1:38" s="82" customFormat="1" ht="24.9" hidden="1" customHeight="1" x14ac:dyDescent="0.3">
      <c r="A35" s="82">
        <v>34</v>
      </c>
      <c r="B35" s="82" t="s">
        <v>30</v>
      </c>
      <c r="C35" s="82" t="s">
        <v>30</v>
      </c>
      <c r="D35" s="102" t="s">
        <v>711</v>
      </c>
      <c r="E35" s="102" t="s">
        <v>880</v>
      </c>
      <c r="F35" s="231" t="s">
        <v>387</v>
      </c>
      <c r="G35" s="83">
        <v>58</v>
      </c>
      <c r="H35" s="84">
        <v>44252</v>
      </c>
      <c r="I35" s="84">
        <v>47118</v>
      </c>
      <c r="J35" s="85">
        <v>45658</v>
      </c>
      <c r="K35" s="85">
        <v>45747</v>
      </c>
      <c r="L35" s="94" t="s">
        <v>295</v>
      </c>
      <c r="M35" s="86" t="s">
        <v>386</v>
      </c>
      <c r="N35" s="82" t="s">
        <v>1</v>
      </c>
      <c r="O35" s="87">
        <v>45722</v>
      </c>
      <c r="P35" s="82" t="s">
        <v>2</v>
      </c>
      <c r="Q35" s="82" t="s">
        <v>168</v>
      </c>
      <c r="R35" s="122"/>
      <c r="S35" s="123">
        <v>28404.32</v>
      </c>
      <c r="T35" s="122">
        <v>28404.32</v>
      </c>
      <c r="U35" s="82" t="s">
        <v>16</v>
      </c>
      <c r="V35" s="92" t="s">
        <v>280</v>
      </c>
      <c r="W35" s="102"/>
      <c r="X35" s="124"/>
      <c r="Y35" s="124"/>
      <c r="Z35" s="124"/>
      <c r="AA35" s="124"/>
      <c r="AB35" s="124"/>
      <c r="AC35" s="124">
        <v>28404.32</v>
      </c>
      <c r="AD35" s="124"/>
      <c r="AE35" s="124"/>
      <c r="AF35" s="124"/>
      <c r="AG35" s="124"/>
      <c r="AH35" s="124"/>
      <c r="AI35" s="124"/>
      <c r="AJ35" s="124"/>
      <c r="AK35" s="124">
        <f t="shared" si="3"/>
        <v>28404.32</v>
      </c>
      <c r="AL35" s="124">
        <f t="shared" si="2"/>
        <v>0</v>
      </c>
    </row>
    <row r="36" spans="1:38" s="82" customFormat="1" ht="24.9" customHeight="1" x14ac:dyDescent="0.3">
      <c r="A36" s="82">
        <v>35</v>
      </c>
      <c r="B36" s="82" t="s">
        <v>0</v>
      </c>
      <c r="C36" s="82" t="s">
        <v>0</v>
      </c>
      <c r="D36" s="102" t="s">
        <v>728</v>
      </c>
      <c r="E36" s="102" t="s">
        <v>881</v>
      </c>
      <c r="F36" s="231" t="s">
        <v>438</v>
      </c>
      <c r="G36" s="83">
        <v>88</v>
      </c>
      <c r="H36" s="84">
        <v>42591</v>
      </c>
      <c r="I36" s="84">
        <v>45961</v>
      </c>
      <c r="J36" s="85">
        <v>45597</v>
      </c>
      <c r="K36" s="85">
        <v>45688</v>
      </c>
      <c r="L36" s="94" t="s">
        <v>872</v>
      </c>
      <c r="M36" s="86" t="s">
        <v>437</v>
      </c>
      <c r="N36" s="82" t="s">
        <v>1</v>
      </c>
      <c r="O36" s="87">
        <v>45723</v>
      </c>
      <c r="P36" s="82" t="s">
        <v>2</v>
      </c>
      <c r="Q36" s="82" t="s">
        <v>168</v>
      </c>
      <c r="R36" s="122"/>
      <c r="S36" s="320">
        <v>61439.5</v>
      </c>
      <c r="T36" s="122">
        <v>61439.5</v>
      </c>
      <c r="U36" s="82" t="s">
        <v>16</v>
      </c>
      <c r="V36" s="92" t="s">
        <v>280</v>
      </c>
      <c r="W36" s="102"/>
      <c r="X36" s="124"/>
      <c r="Y36" s="124"/>
      <c r="Z36" s="124"/>
      <c r="AA36" s="124"/>
      <c r="AB36" s="124"/>
      <c r="AC36" s="124">
        <v>45130.5</v>
      </c>
      <c r="AD36" s="124">
        <v>16309</v>
      </c>
      <c r="AE36" s="124"/>
      <c r="AF36" s="124"/>
      <c r="AG36" s="124"/>
      <c r="AH36" s="124"/>
      <c r="AI36" s="124"/>
      <c r="AJ36" s="124"/>
      <c r="AK36" s="124">
        <f t="shared" si="3"/>
        <v>61439.5</v>
      </c>
      <c r="AL36" s="124">
        <f t="shared" si="2"/>
        <v>0</v>
      </c>
    </row>
    <row r="37" spans="1:38" s="82" customFormat="1" ht="24.9" hidden="1" customHeight="1" x14ac:dyDescent="0.3">
      <c r="A37" s="82">
        <v>36</v>
      </c>
      <c r="B37" s="82" t="s">
        <v>17</v>
      </c>
      <c r="C37" s="82" t="s">
        <v>17</v>
      </c>
      <c r="D37" s="102" t="s">
        <v>710</v>
      </c>
      <c r="E37" s="102" t="s">
        <v>878</v>
      </c>
      <c r="F37" s="102" t="s">
        <v>1149</v>
      </c>
      <c r="G37" s="83">
        <v>12</v>
      </c>
      <c r="H37" s="84">
        <v>41852</v>
      </c>
      <c r="I37" s="84">
        <v>46599</v>
      </c>
      <c r="J37" s="85">
        <v>45500</v>
      </c>
      <c r="K37" s="85">
        <v>45590</v>
      </c>
      <c r="L37" s="94" t="s">
        <v>295</v>
      </c>
      <c r="M37" s="86" t="s">
        <v>310</v>
      </c>
      <c r="N37" s="82" t="s">
        <v>1</v>
      </c>
      <c r="O37" s="87">
        <v>45726</v>
      </c>
      <c r="P37" s="82" t="s">
        <v>2</v>
      </c>
      <c r="Q37" s="82" t="s">
        <v>168</v>
      </c>
      <c r="R37" s="122"/>
      <c r="S37" s="319">
        <v>116549.71</v>
      </c>
      <c r="T37" s="122">
        <v>116549.71</v>
      </c>
      <c r="U37" s="82" t="s">
        <v>16</v>
      </c>
      <c r="V37" s="92" t="s">
        <v>280</v>
      </c>
      <c r="W37" s="102"/>
      <c r="X37" s="124"/>
      <c r="Y37" s="124"/>
      <c r="Z37" s="124"/>
      <c r="AA37" s="124"/>
      <c r="AB37" s="124"/>
      <c r="AC37" s="124">
        <v>107136.1</v>
      </c>
      <c r="AD37" s="124">
        <v>9413.61</v>
      </c>
      <c r="AE37" s="124"/>
      <c r="AF37" s="124"/>
      <c r="AG37" s="124"/>
      <c r="AH37" s="124"/>
      <c r="AI37" s="124"/>
      <c r="AJ37" s="124"/>
      <c r="AK37" s="124">
        <f t="shared" si="3"/>
        <v>116549.71</v>
      </c>
      <c r="AL37" s="124">
        <f t="shared" si="2"/>
        <v>0</v>
      </c>
    </row>
    <row r="38" spans="1:38" s="92" customFormat="1" ht="24.9" hidden="1" customHeight="1" x14ac:dyDescent="0.3">
      <c r="A38" s="82">
        <v>37</v>
      </c>
      <c r="B38" s="113" t="s">
        <v>107</v>
      </c>
      <c r="C38" s="113" t="s">
        <v>107</v>
      </c>
      <c r="D38" s="131" t="s">
        <v>749</v>
      </c>
      <c r="E38" s="131" t="s">
        <v>787</v>
      </c>
      <c r="F38" s="231" t="s">
        <v>503</v>
      </c>
      <c r="G38" s="83">
        <v>248</v>
      </c>
      <c r="H38" s="84">
        <v>44699</v>
      </c>
      <c r="I38" s="84">
        <v>46524</v>
      </c>
      <c r="J38" s="107">
        <v>45566</v>
      </c>
      <c r="K38" s="107">
        <v>45657</v>
      </c>
      <c r="L38" s="94" t="s">
        <v>295</v>
      </c>
      <c r="M38" s="112" t="s">
        <v>502</v>
      </c>
      <c r="N38" s="113" t="s">
        <v>1</v>
      </c>
      <c r="O38" s="114">
        <v>45727</v>
      </c>
      <c r="P38" s="113" t="s">
        <v>275</v>
      </c>
      <c r="Q38" s="113"/>
      <c r="R38" s="132"/>
      <c r="S38" s="99">
        <v>535184.07999999996</v>
      </c>
      <c r="T38" s="132">
        <v>855645.48</v>
      </c>
      <c r="U38" s="113" t="s">
        <v>16</v>
      </c>
      <c r="V38" s="92" t="s">
        <v>27</v>
      </c>
      <c r="W38" s="109"/>
      <c r="X38" s="110">
        <v>15225.44</v>
      </c>
      <c r="Y38" s="110">
        <f>11274.87+28.76+95.79</f>
        <v>11399.420000000002</v>
      </c>
      <c r="Z38" s="110"/>
      <c r="AA38" s="110">
        <v>18637.643500000002</v>
      </c>
      <c r="AB38" s="110">
        <f>3.59+1868.81</f>
        <v>1872.3999999999999</v>
      </c>
      <c r="AC38" s="110">
        <f>282322.3695+3013.39</f>
        <v>285335.75949999999</v>
      </c>
      <c r="AD38" s="110">
        <f>11864.51+38743.33+926.34</f>
        <v>51534.18</v>
      </c>
      <c r="AE38" s="110">
        <v>29493.855999999992</v>
      </c>
      <c r="AF38" s="110">
        <f>8031.848+44.01+69.61</f>
        <v>8145.4679999999998</v>
      </c>
      <c r="AG38" s="110">
        <v>63937.853500000034</v>
      </c>
      <c r="AH38" s="110">
        <v>6228.7935000000034</v>
      </c>
      <c r="AI38" s="110">
        <v>43373.27</v>
      </c>
      <c r="AJ38" s="110"/>
      <c r="AK38" s="124">
        <f t="shared" si="3"/>
        <v>535184.08400000003</v>
      </c>
      <c r="AL38" s="124">
        <f t="shared" si="2"/>
        <v>-4.0000000735744834E-3</v>
      </c>
    </row>
    <row r="39" spans="1:38" s="92" customFormat="1" ht="24.9" hidden="1" customHeight="1" x14ac:dyDescent="0.3">
      <c r="A39" s="82">
        <v>38</v>
      </c>
      <c r="B39" s="92" t="s">
        <v>107</v>
      </c>
      <c r="C39" s="92" t="s">
        <v>107</v>
      </c>
      <c r="D39" s="61" t="s">
        <v>750</v>
      </c>
      <c r="E39" s="58" t="s">
        <v>787</v>
      </c>
      <c r="F39" s="231" t="s">
        <v>503</v>
      </c>
      <c r="G39" s="83">
        <v>109</v>
      </c>
      <c r="H39" s="84">
        <v>44699</v>
      </c>
      <c r="I39" s="84">
        <v>46524</v>
      </c>
      <c r="J39" s="85">
        <v>45566</v>
      </c>
      <c r="K39" s="85">
        <v>45657</v>
      </c>
      <c r="L39" s="94" t="s">
        <v>295</v>
      </c>
      <c r="M39" s="106" t="s">
        <v>502</v>
      </c>
      <c r="N39" s="92" t="s">
        <v>1</v>
      </c>
      <c r="O39" s="93">
        <v>45727</v>
      </c>
      <c r="P39" s="92" t="s">
        <v>275</v>
      </c>
      <c r="R39" s="108"/>
      <c r="S39" s="99">
        <v>74180.320000000007</v>
      </c>
      <c r="T39" s="108">
        <v>855645.48</v>
      </c>
      <c r="U39" s="92" t="s">
        <v>16</v>
      </c>
      <c r="V39" s="92" t="s">
        <v>27</v>
      </c>
      <c r="W39" s="109" t="s">
        <v>822</v>
      </c>
      <c r="X39" s="110">
        <v>427.12</v>
      </c>
      <c r="Y39" s="110">
        <f>346.94+32.37</f>
        <v>379.31</v>
      </c>
      <c r="Z39" s="110"/>
      <c r="AA39" s="110">
        <v>927.28</v>
      </c>
      <c r="AB39" s="110"/>
      <c r="AC39" s="110">
        <v>42379.03</v>
      </c>
      <c r="AD39" s="110">
        <f>1383.46+3329.75</f>
        <v>4713.21</v>
      </c>
      <c r="AE39" s="110">
        <v>3585.07</v>
      </c>
      <c r="AF39" s="110">
        <v>1956.88</v>
      </c>
      <c r="AG39" s="110">
        <v>9724.36</v>
      </c>
      <c r="AH39" s="110">
        <v>1851.26</v>
      </c>
      <c r="AI39" s="110">
        <v>8236.7999999999993</v>
      </c>
      <c r="AJ39" s="110"/>
      <c r="AK39" s="124">
        <f t="shared" si="3"/>
        <v>74180.319999999992</v>
      </c>
      <c r="AL39" s="124">
        <f t="shared" si="2"/>
        <v>0</v>
      </c>
    </row>
    <row r="40" spans="1:38" s="92" customFormat="1" ht="37.5" hidden="1" customHeight="1" x14ac:dyDescent="0.3">
      <c r="A40" s="82">
        <v>39</v>
      </c>
      <c r="B40" s="92" t="s">
        <v>107</v>
      </c>
      <c r="C40" s="82" t="s">
        <v>107</v>
      </c>
      <c r="D40" s="58" t="s">
        <v>713</v>
      </c>
      <c r="E40" s="58" t="s">
        <v>787</v>
      </c>
      <c r="F40" s="231" t="s">
        <v>503</v>
      </c>
      <c r="G40" s="83">
        <v>193</v>
      </c>
      <c r="H40" s="84">
        <v>44699</v>
      </c>
      <c r="I40" s="84">
        <v>46524</v>
      </c>
      <c r="J40" s="85">
        <v>45566</v>
      </c>
      <c r="K40" s="85">
        <v>45657</v>
      </c>
      <c r="L40" s="94" t="s">
        <v>295</v>
      </c>
      <c r="M40" s="86" t="s">
        <v>502</v>
      </c>
      <c r="N40" s="82" t="s">
        <v>1</v>
      </c>
      <c r="O40" s="87">
        <v>45727</v>
      </c>
      <c r="P40" s="82" t="s">
        <v>275</v>
      </c>
      <c r="Q40" s="82"/>
      <c r="R40" s="108"/>
      <c r="S40" s="123">
        <v>53432.57</v>
      </c>
      <c r="T40" s="108">
        <v>855645.48</v>
      </c>
      <c r="U40" s="82" t="s">
        <v>16</v>
      </c>
      <c r="V40" s="92" t="s">
        <v>27</v>
      </c>
      <c r="W40" s="109"/>
      <c r="X40" s="110">
        <v>-23896.91</v>
      </c>
      <c r="Y40" s="110">
        <f>-1735.23+51.45+2.04+64.53</f>
        <v>-1617.21</v>
      </c>
      <c r="Z40" s="110"/>
      <c r="AA40" s="110">
        <v>-2031.08</v>
      </c>
      <c r="AB40" s="110">
        <f>58.08+25.59+44.56-668+1529.72</f>
        <v>989.95</v>
      </c>
      <c r="AC40" s="110">
        <f>51395.44+674.66+738.37+429.75+917.09+8.31+294.82+661.32</f>
        <v>55119.76</v>
      </c>
      <c r="AD40" s="110">
        <f>5204.48+47.09</f>
        <v>5251.57</v>
      </c>
      <c r="AE40" s="110">
        <v>789.77</v>
      </c>
      <c r="AF40" s="110">
        <f>2040.52+44.01</f>
        <v>2084.5300000000002</v>
      </c>
      <c r="AG40" s="110">
        <v>10668.47</v>
      </c>
      <c r="AH40" s="110">
        <v>-2241.7800000000002</v>
      </c>
      <c r="AI40" s="110">
        <v>8315.5</v>
      </c>
      <c r="AJ40" s="110"/>
      <c r="AK40" s="124">
        <f t="shared" si="3"/>
        <v>53432.57</v>
      </c>
      <c r="AL40" s="124">
        <f t="shared" si="2"/>
        <v>0</v>
      </c>
    </row>
    <row r="41" spans="1:38" s="92" customFormat="1" ht="39" hidden="1" customHeight="1" x14ac:dyDescent="0.3">
      <c r="A41" s="82">
        <v>40</v>
      </c>
      <c r="B41" s="92" t="s">
        <v>107</v>
      </c>
      <c r="C41" s="82" t="s">
        <v>107</v>
      </c>
      <c r="D41" s="58" t="s">
        <v>714</v>
      </c>
      <c r="E41" s="58" t="s">
        <v>788</v>
      </c>
      <c r="F41" s="231" t="s">
        <v>514</v>
      </c>
      <c r="G41" s="83">
        <v>116</v>
      </c>
      <c r="H41" s="84">
        <v>44508</v>
      </c>
      <c r="I41" s="84">
        <v>46022</v>
      </c>
      <c r="J41" s="85">
        <v>45566</v>
      </c>
      <c r="K41" s="85">
        <v>45657</v>
      </c>
      <c r="L41" s="94" t="s">
        <v>295</v>
      </c>
      <c r="M41" s="86" t="s">
        <v>513</v>
      </c>
      <c r="N41" s="82" t="s">
        <v>1</v>
      </c>
      <c r="O41" s="87">
        <v>45727</v>
      </c>
      <c r="P41" s="82" t="s">
        <v>275</v>
      </c>
      <c r="Q41" s="82"/>
      <c r="R41" s="108"/>
      <c r="S41" s="123">
        <v>16012.9</v>
      </c>
      <c r="T41" s="108">
        <v>855645.48</v>
      </c>
      <c r="U41" s="82" t="s">
        <v>16</v>
      </c>
      <c r="V41" s="92" t="s">
        <v>27</v>
      </c>
      <c r="W41" s="109"/>
      <c r="X41" s="110">
        <f>371.62</f>
        <v>371.62</v>
      </c>
      <c r="Y41" s="110">
        <f>23.85+6.36+2.27</f>
        <v>32.480000000000004</v>
      </c>
      <c r="Z41" s="110"/>
      <c r="AA41" s="110">
        <f>1265.18+859.95</f>
        <v>2125.13</v>
      </c>
      <c r="AB41" s="110">
        <f>1.59</f>
        <v>1.59</v>
      </c>
      <c r="AC41" s="110">
        <f>6.36+8.2+19.54+232.6+3840.61+4.77</f>
        <v>4112.0800000000008</v>
      </c>
      <c r="AD41" s="110">
        <f>140.34+2237.33</f>
        <v>2377.67</v>
      </c>
      <c r="AE41" s="110">
        <f>111.3+922.2</f>
        <v>1033.5</v>
      </c>
      <c r="AF41" s="110">
        <f>2.62+13.86</f>
        <v>16.48</v>
      </c>
      <c r="AG41" s="110">
        <f>79.5+3871.37</f>
        <v>3950.87</v>
      </c>
      <c r="AH41" s="110">
        <v>22.26</v>
      </c>
      <c r="AI41" s="110">
        <v>1939.8</v>
      </c>
      <c r="AJ41" s="110">
        <f>20.67+8.75</f>
        <v>29.42</v>
      </c>
      <c r="AK41" s="124">
        <f t="shared" si="3"/>
        <v>16012.900000000001</v>
      </c>
      <c r="AL41" s="124">
        <f t="shared" si="2"/>
        <v>0</v>
      </c>
    </row>
    <row r="42" spans="1:38" s="92" customFormat="1" ht="24.9" hidden="1" customHeight="1" x14ac:dyDescent="0.3">
      <c r="A42" s="82">
        <v>41</v>
      </c>
      <c r="B42" s="92" t="s">
        <v>107</v>
      </c>
      <c r="C42" s="82" t="s">
        <v>107</v>
      </c>
      <c r="D42" s="58" t="s">
        <v>715</v>
      </c>
      <c r="E42" s="58" t="s">
        <v>789</v>
      </c>
      <c r="F42" s="231" t="s">
        <v>511</v>
      </c>
      <c r="G42" s="83">
        <v>115</v>
      </c>
      <c r="H42" s="84">
        <v>45002</v>
      </c>
      <c r="I42" s="84">
        <v>45930</v>
      </c>
      <c r="J42" s="85">
        <v>45566</v>
      </c>
      <c r="K42" s="85">
        <v>45657</v>
      </c>
      <c r="L42" s="94" t="s">
        <v>295</v>
      </c>
      <c r="M42" s="91" t="s">
        <v>510</v>
      </c>
      <c r="N42" s="82" t="s">
        <v>1</v>
      </c>
      <c r="O42" s="87">
        <v>45727</v>
      </c>
      <c r="P42" s="82" t="s">
        <v>275</v>
      </c>
      <c r="Q42" s="82"/>
      <c r="R42" s="108"/>
      <c r="S42" s="123">
        <v>32523.15</v>
      </c>
      <c r="T42" s="108">
        <v>855645.48</v>
      </c>
      <c r="U42" s="82" t="s">
        <v>16</v>
      </c>
      <c r="V42" s="92" t="s">
        <v>27</v>
      </c>
      <c r="W42" s="109"/>
      <c r="X42" s="110">
        <f>1194.75+26.94</f>
        <v>1221.69</v>
      </c>
      <c r="Y42" s="110">
        <v>53.12</v>
      </c>
      <c r="Z42" s="110"/>
      <c r="AA42" s="110">
        <f>26.7+483.21+1075.4</f>
        <v>1585.31</v>
      </c>
      <c r="AB42" s="110">
        <f>132.94+26.56</f>
        <v>159.5</v>
      </c>
      <c r="AC42" s="110">
        <f>106.38+26.56+53.26+1518.99+12841.98</f>
        <v>14547.17</v>
      </c>
      <c r="AD42" s="110">
        <f>168.31+2852.17</f>
        <v>3020.48</v>
      </c>
      <c r="AE42" s="110">
        <f>798.16+2046.9</f>
        <v>2845.06</v>
      </c>
      <c r="AF42" s="110">
        <f>1069.75+68.31</f>
        <v>1138.06</v>
      </c>
      <c r="AG42" s="110">
        <v>3213.01</v>
      </c>
      <c r="AH42" s="110">
        <f>79.96+26.56</f>
        <v>106.52</v>
      </c>
      <c r="AI42" s="110">
        <v>4549</v>
      </c>
      <c r="AJ42" s="110">
        <v>84.23</v>
      </c>
      <c r="AK42" s="124">
        <f t="shared" si="3"/>
        <v>32523.15</v>
      </c>
      <c r="AL42" s="124">
        <f t="shared" si="2"/>
        <v>0</v>
      </c>
    </row>
    <row r="43" spans="1:38" s="92" customFormat="1" ht="24.9" hidden="1" customHeight="1" x14ac:dyDescent="0.3">
      <c r="A43" s="82">
        <v>42</v>
      </c>
      <c r="B43" s="92" t="s">
        <v>107</v>
      </c>
      <c r="C43" s="82" t="s">
        <v>107</v>
      </c>
      <c r="D43" s="58" t="s">
        <v>751</v>
      </c>
      <c r="E43" s="58" t="s">
        <v>787</v>
      </c>
      <c r="F43" s="231" t="s">
        <v>505</v>
      </c>
      <c r="G43" s="83">
        <v>113</v>
      </c>
      <c r="H43" s="84">
        <v>44699</v>
      </c>
      <c r="I43" s="84">
        <v>46524</v>
      </c>
      <c r="J43" s="85">
        <v>45566</v>
      </c>
      <c r="K43" s="85">
        <v>45657</v>
      </c>
      <c r="L43" s="94" t="s">
        <v>295</v>
      </c>
      <c r="M43" s="86" t="s">
        <v>502</v>
      </c>
      <c r="N43" s="82" t="s">
        <v>1</v>
      </c>
      <c r="O43" s="87">
        <v>45727</v>
      </c>
      <c r="P43" s="82" t="s">
        <v>275</v>
      </c>
      <c r="Q43" s="82"/>
      <c r="R43" s="108"/>
      <c r="S43" s="123">
        <v>69525</v>
      </c>
      <c r="T43" s="108">
        <v>855645.48</v>
      </c>
      <c r="U43" s="82" t="s">
        <v>16</v>
      </c>
      <c r="V43" s="92" t="s">
        <v>27</v>
      </c>
      <c r="W43" s="109"/>
      <c r="X43" s="110"/>
      <c r="Y43" s="110"/>
      <c r="Z43" s="110"/>
      <c r="AA43" s="110"/>
      <c r="AB43" s="110"/>
      <c r="AC43" s="110">
        <f>$S$43</f>
        <v>69525</v>
      </c>
      <c r="AD43" s="110"/>
      <c r="AE43" s="110"/>
      <c r="AF43" s="110"/>
      <c r="AG43" s="110"/>
      <c r="AH43" s="110"/>
      <c r="AI43" s="110"/>
      <c r="AJ43" s="110"/>
      <c r="AK43" s="124">
        <f t="shared" si="3"/>
        <v>69525</v>
      </c>
      <c r="AL43" s="124">
        <f t="shared" si="2"/>
        <v>0</v>
      </c>
    </row>
    <row r="44" spans="1:38" s="92" customFormat="1" ht="24.9" hidden="1" customHeight="1" x14ac:dyDescent="0.3">
      <c r="A44" s="82">
        <v>43</v>
      </c>
      <c r="B44" s="92" t="s">
        <v>107</v>
      </c>
      <c r="C44" s="82" t="s">
        <v>107</v>
      </c>
      <c r="D44" s="58" t="s">
        <v>757</v>
      </c>
      <c r="E44" s="58" t="s">
        <v>882</v>
      </c>
      <c r="F44" s="231" t="s">
        <v>508</v>
      </c>
      <c r="G44" s="83">
        <v>114</v>
      </c>
      <c r="H44" s="84">
        <v>44924</v>
      </c>
      <c r="I44" s="84">
        <v>46022</v>
      </c>
      <c r="J44" s="85">
        <v>45566</v>
      </c>
      <c r="K44" s="85">
        <v>45657</v>
      </c>
      <c r="L44" s="94" t="s">
        <v>295</v>
      </c>
      <c r="M44" s="86" t="s">
        <v>507</v>
      </c>
      <c r="N44" s="82" t="s">
        <v>1</v>
      </c>
      <c r="O44" s="87">
        <v>45727</v>
      </c>
      <c r="P44" s="82" t="s">
        <v>275</v>
      </c>
      <c r="Q44" s="82"/>
      <c r="R44" s="108"/>
      <c r="S44" s="123">
        <v>74787.460000000006</v>
      </c>
      <c r="T44" s="108">
        <v>855645.48</v>
      </c>
      <c r="U44" s="82" t="s">
        <v>16</v>
      </c>
      <c r="V44" s="92" t="s">
        <v>27</v>
      </c>
      <c r="W44" s="109"/>
      <c r="X44" s="110">
        <v>1518.16</v>
      </c>
      <c r="Y44" s="110">
        <v>642.14</v>
      </c>
      <c r="Z44" s="110">
        <v>226.23</v>
      </c>
      <c r="AA44" s="110">
        <v>3034.88</v>
      </c>
      <c r="AB44" s="110">
        <v>1151.97</v>
      </c>
      <c r="AC44" s="133">
        <v>45925.13</v>
      </c>
      <c r="AD44" s="110">
        <v>6118.51</v>
      </c>
      <c r="AE44" s="110">
        <v>3182.45</v>
      </c>
      <c r="AF44" s="110">
        <v>1426.56</v>
      </c>
      <c r="AG44" s="110">
        <v>6559.76</v>
      </c>
      <c r="AH44" s="110">
        <v>567.72</v>
      </c>
      <c r="AI44" s="110">
        <v>4433.95</v>
      </c>
      <c r="AJ44" s="110"/>
      <c r="AK44" s="124">
        <f t="shared" si="3"/>
        <v>74787.459999999992</v>
      </c>
      <c r="AL44" s="124">
        <f t="shared" si="2"/>
        <v>0</v>
      </c>
    </row>
    <row r="45" spans="1:38" s="92" customFormat="1" ht="24.9" hidden="1" customHeight="1" x14ac:dyDescent="0.3">
      <c r="A45" s="82">
        <v>44</v>
      </c>
      <c r="B45" s="92" t="s">
        <v>117</v>
      </c>
      <c r="C45" s="109" t="s">
        <v>116</v>
      </c>
      <c r="D45" s="109" t="s">
        <v>736</v>
      </c>
      <c r="E45" s="109" t="s">
        <v>883</v>
      </c>
      <c r="F45" s="109" t="s">
        <v>997</v>
      </c>
      <c r="G45" s="83">
        <v>436</v>
      </c>
      <c r="H45" s="84">
        <v>45231</v>
      </c>
      <c r="I45" s="84">
        <v>45961</v>
      </c>
      <c r="J45" s="85">
        <v>45566</v>
      </c>
      <c r="K45" s="85">
        <v>45657</v>
      </c>
      <c r="L45" s="83" t="s">
        <v>295</v>
      </c>
      <c r="M45" s="92" t="s">
        <v>996</v>
      </c>
      <c r="N45" s="92" t="s">
        <v>1</v>
      </c>
      <c r="O45" s="93">
        <v>45730</v>
      </c>
      <c r="P45" s="92" t="s">
        <v>92</v>
      </c>
      <c r="R45" s="108"/>
      <c r="S45" s="123">
        <v>1777.17</v>
      </c>
      <c r="T45" s="130">
        <v>1777.17</v>
      </c>
      <c r="U45" s="92" t="s">
        <v>16</v>
      </c>
      <c r="V45" s="92" t="s">
        <v>27</v>
      </c>
      <c r="W45" s="109" t="s">
        <v>891</v>
      </c>
      <c r="X45" s="110"/>
      <c r="Y45" s="110"/>
      <c r="Z45" s="110"/>
      <c r="AA45" s="110"/>
      <c r="AB45" s="110"/>
      <c r="AC45" s="110">
        <v>1777.17</v>
      </c>
      <c r="AD45" s="110"/>
      <c r="AE45" s="110"/>
      <c r="AF45" s="110"/>
      <c r="AG45" s="110"/>
      <c r="AH45" s="110"/>
      <c r="AI45" s="110"/>
      <c r="AJ45" s="110"/>
      <c r="AK45" s="124">
        <f t="shared" si="3"/>
        <v>1777.17</v>
      </c>
      <c r="AL45" s="124">
        <f t="shared" si="2"/>
        <v>0</v>
      </c>
    </row>
    <row r="46" spans="1:38" s="92" customFormat="1" ht="24.9" customHeight="1" x14ac:dyDescent="0.3">
      <c r="A46" s="82">
        <v>45</v>
      </c>
      <c r="B46" s="92" t="s">
        <v>0</v>
      </c>
      <c r="C46" s="82" t="s">
        <v>0</v>
      </c>
      <c r="D46" s="102" t="s">
        <v>712</v>
      </c>
      <c r="E46" s="102" t="s">
        <v>778</v>
      </c>
      <c r="F46" s="231" t="s">
        <v>429</v>
      </c>
      <c r="G46" s="83">
        <v>84</v>
      </c>
      <c r="H46" s="84">
        <v>44044</v>
      </c>
      <c r="I46" s="84">
        <v>46290</v>
      </c>
      <c r="J46" s="85">
        <v>45627</v>
      </c>
      <c r="K46" s="85">
        <v>45716</v>
      </c>
      <c r="L46" s="94" t="s">
        <v>295</v>
      </c>
      <c r="M46" s="86" t="s">
        <v>428</v>
      </c>
      <c r="N46" s="82" t="s">
        <v>1</v>
      </c>
      <c r="O46" s="87">
        <v>45730</v>
      </c>
      <c r="P46" s="82" t="s">
        <v>2</v>
      </c>
      <c r="Q46" s="82" t="s">
        <v>168</v>
      </c>
      <c r="R46" s="108"/>
      <c r="S46" s="319">
        <v>260000</v>
      </c>
      <c r="T46" s="108">
        <v>260000</v>
      </c>
      <c r="U46" s="82" t="s">
        <v>16</v>
      </c>
      <c r="V46" s="92" t="s">
        <v>280</v>
      </c>
      <c r="W46" s="109"/>
      <c r="X46" s="110"/>
      <c r="Y46" s="110"/>
      <c r="Z46" s="110"/>
      <c r="AA46" s="110"/>
      <c r="AB46" s="110"/>
      <c r="AC46" s="124">
        <f>96000+96000</f>
        <v>192000</v>
      </c>
      <c r="AD46" s="124">
        <f>34000+34000</f>
        <v>68000</v>
      </c>
      <c r="AE46" s="110"/>
      <c r="AF46" s="110"/>
      <c r="AG46" s="110"/>
      <c r="AH46" s="110"/>
      <c r="AI46" s="110"/>
      <c r="AJ46" s="110"/>
      <c r="AK46" s="124">
        <f t="shared" si="3"/>
        <v>260000</v>
      </c>
      <c r="AL46" s="124">
        <f t="shared" si="2"/>
        <v>0</v>
      </c>
    </row>
    <row r="47" spans="1:38" s="92" customFormat="1" ht="24.9" hidden="1" customHeight="1" x14ac:dyDescent="0.3">
      <c r="A47" s="82">
        <v>46</v>
      </c>
      <c r="B47" s="82" t="s">
        <v>17</v>
      </c>
      <c r="C47" s="82" t="s">
        <v>17</v>
      </c>
      <c r="D47" s="102" t="s">
        <v>693</v>
      </c>
      <c r="E47" s="102" t="s">
        <v>871</v>
      </c>
      <c r="F47" s="231" t="s">
        <v>523</v>
      </c>
      <c r="G47" s="83">
        <v>121</v>
      </c>
      <c r="H47" s="84">
        <v>45505</v>
      </c>
      <c r="I47" s="84">
        <v>46599</v>
      </c>
      <c r="J47" s="107">
        <v>45292</v>
      </c>
      <c r="K47" s="107">
        <v>45473</v>
      </c>
      <c r="L47" s="59" t="s">
        <v>872</v>
      </c>
      <c r="M47" s="86" t="s">
        <v>522</v>
      </c>
      <c r="N47" s="82" t="s">
        <v>1</v>
      </c>
      <c r="O47" s="87">
        <v>45733</v>
      </c>
      <c r="P47" s="82" t="s">
        <v>135</v>
      </c>
      <c r="Q47" s="82"/>
      <c r="R47" s="108"/>
      <c r="S47" s="275">
        <v>318718.31</v>
      </c>
      <c r="T47" s="108">
        <v>318718.31</v>
      </c>
      <c r="U47" s="82" t="s">
        <v>16</v>
      </c>
      <c r="V47" s="92" t="s">
        <v>280</v>
      </c>
      <c r="W47" s="109"/>
      <c r="X47" s="110">
        <f>66.69+1647.9+3.5+4620.69</f>
        <v>6338.78</v>
      </c>
      <c r="Y47" s="110">
        <v>77.36</v>
      </c>
      <c r="Z47" s="110"/>
      <c r="AA47" s="110">
        <v>6373.39</v>
      </c>
      <c r="AB47" s="110">
        <f>12.02+29.72</f>
        <v>41.739999999999995</v>
      </c>
      <c r="AC47" s="110">
        <f>123530.98+59247.56+54.37</f>
        <v>182832.90999999997</v>
      </c>
      <c r="AD47" s="110">
        <f>29033.72+44858.94</f>
        <v>73892.66</v>
      </c>
      <c r="AE47" s="110">
        <v>11656.6</v>
      </c>
      <c r="AF47" s="110">
        <f>2649.54+161.42</f>
        <v>2810.96</v>
      </c>
      <c r="AG47" s="110"/>
      <c r="AH47" s="110">
        <v>3134.74</v>
      </c>
      <c r="AI47" s="110">
        <v>31559.17</v>
      </c>
      <c r="AJ47" s="110"/>
      <c r="AK47" s="124">
        <f t="shared" si="3"/>
        <v>318718.30999999994</v>
      </c>
      <c r="AL47" s="124">
        <f t="shared" si="2"/>
        <v>0</v>
      </c>
    </row>
    <row r="48" spans="1:38" s="92" customFormat="1" ht="24.9" hidden="1" customHeight="1" x14ac:dyDescent="0.3">
      <c r="A48" s="82">
        <v>47</v>
      </c>
      <c r="B48" s="82" t="s">
        <v>716</v>
      </c>
      <c r="C48" s="82" t="s">
        <v>716</v>
      </c>
      <c r="D48" s="102" t="s">
        <v>717</v>
      </c>
      <c r="E48" s="102" t="s">
        <v>783</v>
      </c>
      <c r="F48" s="231" t="s">
        <v>359</v>
      </c>
      <c r="G48" s="83">
        <v>42</v>
      </c>
      <c r="H48" s="84">
        <v>42703</v>
      </c>
      <c r="I48" s="84">
        <v>46081</v>
      </c>
      <c r="J48" s="85">
        <v>45536</v>
      </c>
      <c r="K48" s="85">
        <v>45716</v>
      </c>
      <c r="L48" s="94" t="s">
        <v>872</v>
      </c>
      <c r="M48" s="86" t="s">
        <v>357</v>
      </c>
      <c r="N48" s="82" t="s">
        <v>5</v>
      </c>
      <c r="O48" s="87">
        <v>45734</v>
      </c>
      <c r="P48" s="82" t="s">
        <v>2</v>
      </c>
      <c r="Q48" s="82" t="s">
        <v>168</v>
      </c>
      <c r="R48" s="108"/>
      <c r="S48" s="123">
        <v>38027.519999999997</v>
      </c>
      <c r="T48" s="108">
        <v>38027.519999999997</v>
      </c>
      <c r="U48" s="82" t="s">
        <v>16</v>
      </c>
      <c r="V48" s="92" t="s">
        <v>280</v>
      </c>
      <c r="W48" s="109"/>
      <c r="X48" s="110"/>
      <c r="Y48" s="110"/>
      <c r="Z48" s="110"/>
      <c r="AA48" s="110">
        <v>1927.28</v>
      </c>
      <c r="AB48" s="110"/>
      <c r="AC48" s="110">
        <f>13065.77+11361</f>
        <v>24426.77</v>
      </c>
      <c r="AD48" s="110">
        <f>3313.63+2445.63</f>
        <v>5759.26</v>
      </c>
      <c r="AE48" s="110">
        <v>1284.8499999999999</v>
      </c>
      <c r="AF48" s="110"/>
      <c r="AG48" s="110">
        <f>473.38+2096.3</f>
        <v>2569.6800000000003</v>
      </c>
      <c r="AH48" s="110"/>
      <c r="AI48" s="110">
        <v>2059.6799999999998</v>
      </c>
      <c r="AJ48" s="110"/>
      <c r="AK48" s="124">
        <f t="shared" si="3"/>
        <v>38027.519999999997</v>
      </c>
      <c r="AL48" s="124">
        <f t="shared" si="2"/>
        <v>0</v>
      </c>
    </row>
    <row r="49" spans="1:38" s="92" customFormat="1" ht="24.9" hidden="1" customHeight="1" x14ac:dyDescent="0.3">
      <c r="A49" s="82">
        <v>48</v>
      </c>
      <c r="B49" s="82" t="s">
        <v>716</v>
      </c>
      <c r="C49" s="82" t="s">
        <v>716</v>
      </c>
      <c r="D49" s="102" t="s">
        <v>717</v>
      </c>
      <c r="E49" s="102" t="s">
        <v>783</v>
      </c>
      <c r="F49" s="231" t="s">
        <v>359</v>
      </c>
      <c r="G49" s="83">
        <v>42</v>
      </c>
      <c r="H49" s="84">
        <v>42703</v>
      </c>
      <c r="I49" s="84">
        <v>46081</v>
      </c>
      <c r="J49" s="85">
        <v>45536</v>
      </c>
      <c r="K49" s="85">
        <v>45716</v>
      </c>
      <c r="L49" s="94" t="s">
        <v>872</v>
      </c>
      <c r="M49" s="86" t="s">
        <v>357</v>
      </c>
      <c r="N49" s="82" t="s">
        <v>5</v>
      </c>
      <c r="O49" s="87">
        <v>45734</v>
      </c>
      <c r="P49" s="82" t="s">
        <v>2</v>
      </c>
      <c r="Q49" s="82" t="s">
        <v>168</v>
      </c>
      <c r="R49" s="108"/>
      <c r="S49" s="123">
        <v>39925.19</v>
      </c>
      <c r="T49" s="108">
        <v>39925.19</v>
      </c>
      <c r="U49" s="82" t="s">
        <v>16</v>
      </c>
      <c r="V49" s="92" t="s">
        <v>280</v>
      </c>
      <c r="W49" s="109"/>
      <c r="X49" s="110">
        <v>88.05</v>
      </c>
      <c r="Y49" s="110"/>
      <c r="Z49" s="110"/>
      <c r="AA49" s="110"/>
      <c r="AB49" s="110"/>
      <c r="AC49" s="110">
        <f>15925.2+13675.07+153.9</f>
        <v>29754.170000000002</v>
      </c>
      <c r="AD49" s="110">
        <f>589.95+1369.25</f>
        <v>1959.2</v>
      </c>
      <c r="AE49" s="110">
        <f>823.32+167.71</f>
        <v>991.03000000000009</v>
      </c>
      <c r="AF49" s="110"/>
      <c r="AG49" s="110">
        <f>252.02+3050.15+153.9</f>
        <v>3456.07</v>
      </c>
      <c r="AH49" s="110"/>
      <c r="AI49" s="110">
        <f>2640.9+1035.77</f>
        <v>3676.67</v>
      </c>
      <c r="AJ49" s="110"/>
      <c r="AK49" s="124">
        <f t="shared" si="3"/>
        <v>39925.19</v>
      </c>
      <c r="AL49" s="124">
        <f t="shared" ref="AL49:AL69" si="4">S49-AK49</f>
        <v>0</v>
      </c>
    </row>
    <row r="50" spans="1:38" s="92" customFormat="1" ht="24.9" hidden="1" customHeight="1" x14ac:dyDescent="0.3">
      <c r="A50" s="82">
        <v>49</v>
      </c>
      <c r="B50" s="82" t="s">
        <v>237</v>
      </c>
      <c r="C50" s="82" t="s">
        <v>237</v>
      </c>
      <c r="D50" s="102" t="s">
        <v>721</v>
      </c>
      <c r="E50" s="102" t="s">
        <v>815</v>
      </c>
      <c r="F50" s="231" t="s">
        <v>975</v>
      </c>
      <c r="G50" s="83">
        <v>529</v>
      </c>
      <c r="H50" s="84">
        <v>44743</v>
      </c>
      <c r="I50" s="84">
        <v>46022</v>
      </c>
      <c r="J50" s="84">
        <v>45689</v>
      </c>
      <c r="K50" s="84">
        <v>45716</v>
      </c>
      <c r="L50" s="83" t="s">
        <v>337</v>
      </c>
      <c r="M50" s="86" t="s">
        <v>793</v>
      </c>
      <c r="N50" s="82" t="s">
        <v>1</v>
      </c>
      <c r="O50" s="87">
        <v>45744</v>
      </c>
      <c r="P50" s="82" t="s">
        <v>92</v>
      </c>
      <c r="Q50" s="82"/>
      <c r="R50" s="108"/>
      <c r="S50" s="123">
        <v>4103</v>
      </c>
      <c r="T50" s="108">
        <v>4103</v>
      </c>
      <c r="U50" s="82" t="s">
        <v>16</v>
      </c>
      <c r="V50" s="92" t="s">
        <v>27</v>
      </c>
      <c r="W50" s="109"/>
      <c r="X50" s="110">
        <f>38.32+230.53</f>
        <v>268.85000000000002</v>
      </c>
      <c r="Y50" s="110">
        <v>34.770000000000003</v>
      </c>
      <c r="Z50" s="110"/>
      <c r="AA50" s="110">
        <v>237.7</v>
      </c>
      <c r="AB50" s="110">
        <v>43.17</v>
      </c>
      <c r="AC50" s="110">
        <f>1796.06+32.34+72.04</f>
        <v>1900.4399999999998</v>
      </c>
      <c r="AD50" s="110">
        <v>443.44</v>
      </c>
      <c r="AE50" s="110">
        <v>252.47</v>
      </c>
      <c r="AF50" s="110"/>
      <c r="AG50" s="110">
        <v>636.26</v>
      </c>
      <c r="AH50" s="110">
        <v>32.54</v>
      </c>
      <c r="AI50" s="110">
        <v>253.36</v>
      </c>
      <c r="AJ50" s="110"/>
      <c r="AK50" s="124">
        <f t="shared" si="3"/>
        <v>4102.9999999999991</v>
      </c>
      <c r="AL50" s="124">
        <f t="shared" si="4"/>
        <v>0</v>
      </c>
    </row>
    <row r="51" spans="1:38" s="92" customFormat="1" ht="24.9" customHeight="1" x14ac:dyDescent="0.3">
      <c r="A51" s="82">
        <v>50</v>
      </c>
      <c r="B51" s="82" t="s">
        <v>0</v>
      </c>
      <c r="C51" s="82" t="s">
        <v>0</v>
      </c>
      <c r="D51" s="102" t="s">
        <v>719</v>
      </c>
      <c r="E51" s="102" t="s">
        <v>769</v>
      </c>
      <c r="F51" s="102" t="s">
        <v>983</v>
      </c>
      <c r="G51" s="83">
        <v>133</v>
      </c>
      <c r="H51" s="84">
        <v>45322</v>
      </c>
      <c r="I51" s="84">
        <v>45961</v>
      </c>
      <c r="J51" s="85">
        <v>45627</v>
      </c>
      <c r="K51" s="85">
        <v>45716</v>
      </c>
      <c r="L51" s="94" t="s">
        <v>295</v>
      </c>
      <c r="M51" s="86" t="s">
        <v>286</v>
      </c>
      <c r="N51" s="82" t="s">
        <v>1</v>
      </c>
      <c r="O51" s="87">
        <v>45744</v>
      </c>
      <c r="P51" s="82" t="s">
        <v>2</v>
      </c>
      <c r="Q51" s="82" t="s">
        <v>166</v>
      </c>
      <c r="R51" s="82"/>
      <c r="S51" s="320">
        <v>436000</v>
      </c>
      <c r="T51" s="108">
        <v>436000</v>
      </c>
      <c r="U51" s="82" t="s">
        <v>16</v>
      </c>
      <c r="V51" s="92" t="s">
        <v>280</v>
      </c>
      <c r="W51" s="109"/>
      <c r="X51" s="110"/>
      <c r="Y51" s="110"/>
      <c r="Z51" s="110"/>
      <c r="AA51" s="110"/>
      <c r="AB51" s="110"/>
      <c r="AC51" s="110">
        <v>436000</v>
      </c>
      <c r="AD51" s="110"/>
      <c r="AE51" s="110"/>
      <c r="AF51" s="110"/>
      <c r="AG51" s="110"/>
      <c r="AH51" s="110"/>
      <c r="AI51" s="110"/>
      <c r="AJ51" s="110"/>
      <c r="AK51" s="124">
        <f t="shared" si="3"/>
        <v>436000</v>
      </c>
      <c r="AL51" s="124">
        <f t="shared" si="4"/>
        <v>0</v>
      </c>
    </row>
    <row r="52" spans="1:38" s="92" customFormat="1" ht="24.9" hidden="1" customHeight="1" x14ac:dyDescent="0.3">
      <c r="A52" s="82">
        <v>51</v>
      </c>
      <c r="B52" s="82" t="s">
        <v>727</v>
      </c>
      <c r="C52" s="82" t="s">
        <v>718</v>
      </c>
      <c r="D52" s="102" t="s">
        <v>720</v>
      </c>
      <c r="E52" s="102" t="s">
        <v>884</v>
      </c>
      <c r="F52" s="109" t="s">
        <v>973</v>
      </c>
      <c r="G52" s="83"/>
      <c r="H52" s="84">
        <v>41365</v>
      </c>
      <c r="I52" s="84">
        <v>47118</v>
      </c>
      <c r="J52" s="84">
        <v>45566</v>
      </c>
      <c r="K52" s="84">
        <v>45657</v>
      </c>
      <c r="L52" s="83" t="s">
        <v>295</v>
      </c>
      <c r="M52" s="86" t="s">
        <v>726</v>
      </c>
      <c r="N52" s="82" t="s">
        <v>1</v>
      </c>
      <c r="O52" s="87">
        <v>45744</v>
      </c>
      <c r="P52" s="82" t="s">
        <v>92</v>
      </c>
      <c r="Q52" s="82"/>
      <c r="R52" s="108"/>
      <c r="S52" s="127"/>
      <c r="T52" s="108">
        <v>2681178.19</v>
      </c>
      <c r="U52" s="82" t="s">
        <v>16</v>
      </c>
      <c r="W52" s="109" t="s">
        <v>885</v>
      </c>
      <c r="X52" s="110">
        <f>1437+5137</f>
        <v>6574</v>
      </c>
      <c r="Y52" s="110">
        <v>58204</v>
      </c>
      <c r="Z52" s="110"/>
      <c r="AA52" s="110">
        <v>38</v>
      </c>
      <c r="AB52" s="110"/>
      <c r="AC52" s="110">
        <f>2576732+23220.19</f>
        <v>2599952.19</v>
      </c>
      <c r="AD52" s="110"/>
      <c r="AE52" s="110"/>
      <c r="AF52" s="110"/>
      <c r="AG52" s="110">
        <v>2803</v>
      </c>
      <c r="AH52" s="110">
        <v>199</v>
      </c>
      <c r="AI52" s="110">
        <v>13408</v>
      </c>
      <c r="AJ52" s="110"/>
      <c r="AK52" s="124">
        <f t="shared" si="3"/>
        <v>2681178.19</v>
      </c>
      <c r="AL52" s="124">
        <f t="shared" si="4"/>
        <v>-2681178.19</v>
      </c>
    </row>
    <row r="53" spans="1:38" s="92" customFormat="1" ht="24.9" hidden="1" customHeight="1" x14ac:dyDescent="0.3">
      <c r="A53" s="82">
        <v>52</v>
      </c>
      <c r="B53" s="82" t="s">
        <v>17</v>
      </c>
      <c r="C53" s="82" t="s">
        <v>17</v>
      </c>
      <c r="D53" s="102" t="s">
        <v>743</v>
      </c>
      <c r="E53" s="102" t="s">
        <v>871</v>
      </c>
      <c r="F53" s="231" t="s">
        <v>523</v>
      </c>
      <c r="G53" s="83">
        <v>121</v>
      </c>
      <c r="H53" s="84">
        <v>45505</v>
      </c>
      <c r="I53" s="84">
        <v>46599</v>
      </c>
      <c r="J53" s="107">
        <v>45505</v>
      </c>
      <c r="K53" s="107">
        <v>45688</v>
      </c>
      <c r="L53" s="59" t="s">
        <v>872</v>
      </c>
      <c r="M53" s="86" t="s">
        <v>522</v>
      </c>
      <c r="N53" s="82" t="s">
        <v>1</v>
      </c>
      <c r="O53" s="87">
        <v>45747</v>
      </c>
      <c r="P53" s="82" t="s">
        <v>135</v>
      </c>
      <c r="Q53" s="82"/>
      <c r="R53" s="82"/>
      <c r="S53" s="276"/>
      <c r="T53" s="276">
        <v>267917.36</v>
      </c>
      <c r="U53" s="82" t="s">
        <v>16</v>
      </c>
      <c r="W53" s="109" t="s">
        <v>799</v>
      </c>
      <c r="X53" s="110">
        <v>337.92</v>
      </c>
      <c r="Y53" s="110">
        <v>2441.31</v>
      </c>
      <c r="Z53" s="110"/>
      <c r="AA53" s="110">
        <v>2264.6799999999998</v>
      </c>
      <c r="AB53" s="110">
        <v>2677.14</v>
      </c>
      <c r="AC53" s="110">
        <v>191116.62</v>
      </c>
      <c r="AD53" s="110">
        <v>49498.49</v>
      </c>
      <c r="AE53" s="110">
        <v>5345.34</v>
      </c>
      <c r="AF53" s="110">
        <v>120.07</v>
      </c>
      <c r="AG53" s="110">
        <v>4970.4799999999996</v>
      </c>
      <c r="AH53" s="110"/>
      <c r="AI53" s="110">
        <v>9145.32</v>
      </c>
      <c r="AJ53" s="110"/>
      <c r="AK53" s="124">
        <f t="shared" si="3"/>
        <v>267917.37</v>
      </c>
      <c r="AL53" s="124">
        <f t="shared" si="4"/>
        <v>-267917.37</v>
      </c>
    </row>
    <row r="54" spans="1:38" s="92" customFormat="1" ht="24.9" hidden="1" customHeight="1" x14ac:dyDescent="0.3">
      <c r="A54" s="82">
        <v>53</v>
      </c>
      <c r="B54" s="92" t="s">
        <v>30</v>
      </c>
      <c r="C54" s="92" t="s">
        <v>30</v>
      </c>
      <c r="D54" s="109" t="s">
        <v>725</v>
      </c>
      <c r="E54" s="109"/>
      <c r="F54" s="342" t="s">
        <v>1164</v>
      </c>
      <c r="G54" s="345">
        <v>244</v>
      </c>
      <c r="H54" s="346">
        <v>42061</v>
      </c>
      <c r="I54" s="346">
        <v>46446</v>
      </c>
      <c r="J54" s="347">
        <v>45200</v>
      </c>
      <c r="K54" s="347">
        <v>45291</v>
      </c>
      <c r="L54" s="94" t="s">
        <v>295</v>
      </c>
      <c r="M54" s="106" t="s">
        <v>380</v>
      </c>
      <c r="N54" s="344" t="s">
        <v>5</v>
      </c>
      <c r="O54" s="344">
        <v>45750</v>
      </c>
      <c r="P54" s="343" t="s">
        <v>2</v>
      </c>
      <c r="Q54" s="92" t="s">
        <v>168</v>
      </c>
      <c r="S54" s="99">
        <v>31500</v>
      </c>
      <c r="T54" s="108"/>
      <c r="U54" s="82"/>
      <c r="W54" s="109"/>
      <c r="X54" s="110"/>
      <c r="Y54" s="110"/>
      <c r="Z54" s="110"/>
      <c r="AA54" s="110"/>
      <c r="AB54" s="110"/>
      <c r="AC54" s="110">
        <v>31500</v>
      </c>
      <c r="AD54" s="110"/>
      <c r="AE54" s="110"/>
      <c r="AF54" s="110"/>
      <c r="AG54" s="110"/>
      <c r="AH54" s="110"/>
      <c r="AI54" s="110"/>
      <c r="AJ54" s="110"/>
      <c r="AK54" s="124"/>
      <c r="AL54" s="124"/>
    </row>
    <row r="55" spans="1:38" s="92" customFormat="1" ht="24.9" hidden="1" customHeight="1" x14ac:dyDescent="0.3">
      <c r="A55" s="82">
        <v>54</v>
      </c>
      <c r="B55" s="82" t="s">
        <v>30</v>
      </c>
      <c r="C55" s="82" t="s">
        <v>30</v>
      </c>
      <c r="D55" s="102" t="s">
        <v>724</v>
      </c>
      <c r="E55" s="102" t="s">
        <v>772</v>
      </c>
      <c r="F55" s="231" t="s">
        <v>375</v>
      </c>
      <c r="G55" s="83">
        <v>176</v>
      </c>
      <c r="H55" s="84">
        <v>45108</v>
      </c>
      <c r="I55" s="84">
        <v>46446</v>
      </c>
      <c r="J55" s="85">
        <v>45566</v>
      </c>
      <c r="K55" s="85">
        <v>45657</v>
      </c>
      <c r="L55" s="94" t="s">
        <v>295</v>
      </c>
      <c r="M55" s="86" t="s">
        <v>374</v>
      </c>
      <c r="N55" s="82" t="s">
        <v>1</v>
      </c>
      <c r="O55" s="87">
        <v>45750</v>
      </c>
      <c r="P55" s="82" t="s">
        <v>2</v>
      </c>
      <c r="Q55" s="82" t="s">
        <v>168</v>
      </c>
      <c r="R55" s="82"/>
      <c r="S55" s="99">
        <v>7000</v>
      </c>
      <c r="T55" s="108">
        <v>7000</v>
      </c>
      <c r="U55" s="82" t="s">
        <v>24</v>
      </c>
      <c r="V55" s="92" t="s">
        <v>806</v>
      </c>
      <c r="W55" s="109"/>
      <c r="X55" s="110"/>
      <c r="Y55" s="110"/>
      <c r="Z55" s="110"/>
      <c r="AA55" s="110"/>
      <c r="AB55" s="110"/>
      <c r="AC55" s="110">
        <v>7000</v>
      </c>
      <c r="AD55" s="110"/>
      <c r="AE55" s="110"/>
      <c r="AF55" s="110"/>
      <c r="AG55" s="110"/>
      <c r="AH55" s="110"/>
      <c r="AI55" s="110"/>
      <c r="AJ55" s="110"/>
      <c r="AK55" s="124">
        <f t="shared" si="3"/>
        <v>7000</v>
      </c>
      <c r="AL55" s="124">
        <f t="shared" si="4"/>
        <v>0</v>
      </c>
    </row>
    <row r="56" spans="1:38" s="92" customFormat="1" ht="24.9" customHeight="1" x14ac:dyDescent="0.3">
      <c r="A56" s="82">
        <v>55</v>
      </c>
      <c r="B56" s="82" t="s">
        <v>0</v>
      </c>
      <c r="C56" s="82" t="s">
        <v>0</v>
      </c>
      <c r="D56" s="102" t="s">
        <v>722</v>
      </c>
      <c r="E56" s="102" t="s">
        <v>779</v>
      </c>
      <c r="F56" s="231" t="s">
        <v>424</v>
      </c>
      <c r="G56" s="83">
        <v>80</v>
      </c>
      <c r="H56" s="84">
        <v>41699</v>
      </c>
      <c r="I56" s="84">
        <v>46418</v>
      </c>
      <c r="J56" s="85">
        <v>45505</v>
      </c>
      <c r="K56" s="85">
        <v>45688</v>
      </c>
      <c r="L56" s="94" t="s">
        <v>872</v>
      </c>
      <c r="M56" s="86" t="s">
        <v>423</v>
      </c>
      <c r="N56" s="82" t="s">
        <v>1</v>
      </c>
      <c r="O56" s="87">
        <v>45751</v>
      </c>
      <c r="P56" s="82" t="s">
        <v>2</v>
      </c>
      <c r="Q56" s="82" t="s">
        <v>168</v>
      </c>
      <c r="R56" s="108"/>
      <c r="S56" s="320">
        <v>72800</v>
      </c>
      <c r="T56" s="108">
        <v>72800</v>
      </c>
      <c r="U56" s="82" t="s">
        <v>24</v>
      </c>
      <c r="V56" s="92" t="s">
        <v>27</v>
      </c>
      <c r="W56" s="109"/>
      <c r="X56" s="124"/>
      <c r="Y56" s="124"/>
      <c r="Z56" s="124"/>
      <c r="AA56" s="124"/>
      <c r="AB56" s="124"/>
      <c r="AC56" s="124">
        <v>51800</v>
      </c>
      <c r="AD56" s="124">
        <v>6800</v>
      </c>
      <c r="AE56" s="124">
        <v>2000</v>
      </c>
      <c r="AF56" s="124"/>
      <c r="AG56" s="124"/>
      <c r="AH56" s="124"/>
      <c r="AI56" s="124">
        <v>12200</v>
      </c>
      <c r="AJ56" s="124"/>
      <c r="AK56" s="124">
        <f t="shared" si="3"/>
        <v>72800</v>
      </c>
      <c r="AL56" s="124">
        <f t="shared" si="4"/>
        <v>0</v>
      </c>
    </row>
    <row r="57" spans="1:38" s="92" customFormat="1" ht="24.9" customHeight="1" x14ac:dyDescent="0.3">
      <c r="A57" s="82">
        <v>56</v>
      </c>
      <c r="B57" s="82" t="s">
        <v>0</v>
      </c>
      <c r="C57" s="82" t="s">
        <v>0</v>
      </c>
      <c r="D57" s="102" t="s">
        <v>737</v>
      </c>
      <c r="E57" s="102" t="s">
        <v>886</v>
      </c>
      <c r="F57" s="231" t="s">
        <v>432</v>
      </c>
      <c r="G57" s="83">
        <v>85</v>
      </c>
      <c r="H57" s="84">
        <v>42500</v>
      </c>
      <c r="I57" s="84">
        <v>46418</v>
      </c>
      <c r="J57" s="85">
        <v>45536</v>
      </c>
      <c r="K57" s="85">
        <v>45716</v>
      </c>
      <c r="L57" s="94" t="s">
        <v>872</v>
      </c>
      <c r="M57" s="86" t="s">
        <v>431</v>
      </c>
      <c r="N57" s="82" t="s">
        <v>1</v>
      </c>
      <c r="O57" s="87">
        <v>45751</v>
      </c>
      <c r="P57" s="82" t="s">
        <v>2</v>
      </c>
      <c r="Q57" s="82" t="s">
        <v>168</v>
      </c>
      <c r="R57" s="108"/>
      <c r="S57" s="320">
        <v>47600</v>
      </c>
      <c r="T57" s="108">
        <v>47600</v>
      </c>
      <c r="U57" s="82" t="s">
        <v>24</v>
      </c>
      <c r="V57" s="92" t="s">
        <v>27</v>
      </c>
      <c r="W57" s="109"/>
      <c r="X57" s="110"/>
      <c r="Y57" s="110"/>
      <c r="Z57" s="110"/>
      <c r="AA57" s="110"/>
      <c r="AB57" s="110"/>
      <c r="AC57" s="110">
        <v>47600</v>
      </c>
      <c r="AD57" s="110"/>
      <c r="AE57" s="110"/>
      <c r="AF57" s="110"/>
      <c r="AG57" s="110"/>
      <c r="AH57" s="110"/>
      <c r="AI57" s="110"/>
      <c r="AJ57" s="110"/>
      <c r="AK57" s="124">
        <f t="shared" si="3"/>
        <v>47600</v>
      </c>
      <c r="AL57" s="124">
        <f t="shared" si="4"/>
        <v>0</v>
      </c>
    </row>
    <row r="58" spans="1:38" s="92" customFormat="1" ht="24.9" hidden="1" customHeight="1" x14ac:dyDescent="0.3">
      <c r="A58" s="82">
        <v>57</v>
      </c>
      <c r="B58" s="92" t="s">
        <v>17</v>
      </c>
      <c r="C58" s="82" t="s">
        <v>17</v>
      </c>
      <c r="D58" s="102" t="s">
        <v>800</v>
      </c>
      <c r="E58" s="102"/>
      <c r="F58" s="102" t="s">
        <v>973</v>
      </c>
      <c r="G58" s="115" t="s">
        <v>879</v>
      </c>
      <c r="H58" s="115"/>
      <c r="I58" s="115"/>
      <c r="J58" s="85">
        <v>45591</v>
      </c>
      <c r="K58" s="85">
        <v>45681</v>
      </c>
      <c r="L58" s="94" t="s">
        <v>897</v>
      </c>
      <c r="M58" s="102" t="s">
        <v>794</v>
      </c>
      <c r="N58" s="82" t="s">
        <v>5</v>
      </c>
      <c r="O58" s="87">
        <v>45751</v>
      </c>
      <c r="P58" s="82" t="s">
        <v>2</v>
      </c>
      <c r="Q58" s="82" t="s">
        <v>166</v>
      </c>
      <c r="R58" s="108"/>
      <c r="S58" s="320">
        <v>109117.6</v>
      </c>
      <c r="T58" s="108">
        <v>109117.6</v>
      </c>
      <c r="U58" s="82" t="s">
        <v>24</v>
      </c>
      <c r="V58" s="92" t="s">
        <v>798</v>
      </c>
      <c r="W58" s="109" t="s">
        <v>809</v>
      </c>
      <c r="X58" s="110"/>
      <c r="Y58" s="110"/>
      <c r="Z58" s="110"/>
      <c r="AA58" s="110"/>
      <c r="AB58" s="110"/>
      <c r="AC58" s="110">
        <v>109117.6</v>
      </c>
      <c r="AD58" s="110"/>
      <c r="AE58" s="110"/>
      <c r="AF58" s="110"/>
      <c r="AG58" s="110"/>
      <c r="AH58" s="110"/>
      <c r="AI58" s="110"/>
      <c r="AJ58" s="110"/>
      <c r="AK58" s="124">
        <f t="shared" si="3"/>
        <v>109117.6</v>
      </c>
      <c r="AL58" s="124">
        <f t="shared" si="4"/>
        <v>0</v>
      </c>
    </row>
    <row r="59" spans="1:38" s="92" customFormat="1" ht="24.9" hidden="1" customHeight="1" x14ac:dyDescent="0.3">
      <c r="A59" s="82">
        <v>58</v>
      </c>
      <c r="B59" s="92" t="s">
        <v>17</v>
      </c>
      <c r="C59" s="82" t="s">
        <v>17</v>
      </c>
      <c r="D59" s="102" t="s">
        <v>818</v>
      </c>
      <c r="E59" s="102" t="s">
        <v>862</v>
      </c>
      <c r="F59" s="102" t="s">
        <v>976</v>
      </c>
      <c r="G59" s="83">
        <v>118</v>
      </c>
      <c r="H59" s="84">
        <v>42005</v>
      </c>
      <c r="I59" s="84">
        <v>46752</v>
      </c>
      <c r="J59" s="85">
        <v>45627</v>
      </c>
      <c r="K59" s="85">
        <v>45716</v>
      </c>
      <c r="L59" s="94" t="s">
        <v>295</v>
      </c>
      <c r="M59" s="86" t="s">
        <v>519</v>
      </c>
      <c r="N59" s="82" t="s">
        <v>5</v>
      </c>
      <c r="O59" s="87">
        <v>45752</v>
      </c>
      <c r="P59" s="82" t="s">
        <v>135</v>
      </c>
      <c r="Q59" s="82"/>
      <c r="R59" s="108"/>
      <c r="S59" s="320">
        <v>525000</v>
      </c>
      <c r="T59" s="108">
        <v>525000</v>
      </c>
      <c r="U59" s="82" t="s">
        <v>24</v>
      </c>
      <c r="V59" s="92" t="s">
        <v>798</v>
      </c>
      <c r="W59" s="109" t="s">
        <v>819</v>
      </c>
      <c r="X59" s="110"/>
      <c r="Y59" s="110"/>
      <c r="Z59" s="110"/>
      <c r="AA59" s="110"/>
      <c r="AB59" s="110"/>
      <c r="AC59" s="110">
        <v>525000</v>
      </c>
      <c r="AD59" s="110"/>
      <c r="AE59" s="110"/>
      <c r="AF59" s="110"/>
      <c r="AG59" s="110"/>
      <c r="AH59" s="110"/>
      <c r="AI59" s="110"/>
      <c r="AJ59" s="110"/>
      <c r="AK59" s="124">
        <f t="shared" si="3"/>
        <v>525000</v>
      </c>
      <c r="AL59" s="124">
        <f t="shared" si="4"/>
        <v>0</v>
      </c>
    </row>
    <row r="60" spans="1:38" s="92" customFormat="1" ht="24.9" hidden="1" customHeight="1" x14ac:dyDescent="0.3">
      <c r="A60" s="82">
        <v>59</v>
      </c>
      <c r="B60" s="82" t="s">
        <v>17</v>
      </c>
      <c r="C60" s="82" t="s">
        <v>17</v>
      </c>
      <c r="D60" s="102" t="s">
        <v>731</v>
      </c>
      <c r="E60" s="102" t="s">
        <v>771</v>
      </c>
      <c r="F60" s="231" t="s">
        <v>311</v>
      </c>
      <c r="G60" s="83">
        <v>17</v>
      </c>
      <c r="H60" s="84">
        <v>43452</v>
      </c>
      <c r="I60" s="84">
        <v>46387</v>
      </c>
      <c r="J60" s="85">
        <v>45591</v>
      </c>
      <c r="K60" s="85">
        <v>45681</v>
      </c>
      <c r="L60" s="85" t="s">
        <v>295</v>
      </c>
      <c r="M60" s="86" t="s">
        <v>310</v>
      </c>
      <c r="N60" s="82" t="s">
        <v>1</v>
      </c>
      <c r="O60" s="87">
        <v>45754</v>
      </c>
      <c r="P60" s="82" t="s">
        <v>2</v>
      </c>
      <c r="Q60" s="82" t="s">
        <v>168</v>
      </c>
      <c r="R60" s="108"/>
      <c r="S60" s="320">
        <v>30600</v>
      </c>
      <c r="T60" s="108">
        <v>180632.77</v>
      </c>
      <c r="U60" s="82" t="s">
        <v>24</v>
      </c>
      <c r="V60" s="92" t="s">
        <v>27</v>
      </c>
      <c r="W60" s="109"/>
      <c r="X60" s="124">
        <v>675</v>
      </c>
      <c r="Y60" s="124"/>
      <c r="Z60" s="124"/>
      <c r="AA60" s="124"/>
      <c r="AB60" s="124"/>
      <c r="AC60" s="124">
        <v>24525</v>
      </c>
      <c r="AD60" s="124">
        <v>4725</v>
      </c>
      <c r="AE60" s="124"/>
      <c r="AF60" s="124"/>
      <c r="AG60" s="124">
        <v>675</v>
      </c>
      <c r="AH60" s="110"/>
      <c r="AI60" s="110"/>
      <c r="AJ60" s="110"/>
      <c r="AK60" s="124">
        <f t="shared" si="3"/>
        <v>30600</v>
      </c>
      <c r="AL60" s="124">
        <f t="shared" si="4"/>
        <v>0</v>
      </c>
    </row>
    <row r="61" spans="1:38" s="92" customFormat="1" ht="24.9" hidden="1" customHeight="1" x14ac:dyDescent="0.3">
      <c r="A61" s="82">
        <v>60</v>
      </c>
      <c r="B61" s="82" t="s">
        <v>17</v>
      </c>
      <c r="C61" s="82" t="s">
        <v>17</v>
      </c>
      <c r="D61" s="102" t="s">
        <v>732</v>
      </c>
      <c r="E61" s="102" t="s">
        <v>878</v>
      </c>
      <c r="F61" s="102" t="s">
        <v>1149</v>
      </c>
      <c r="G61" s="83">
        <v>12</v>
      </c>
      <c r="H61" s="84">
        <v>41852</v>
      </c>
      <c r="I61" s="84">
        <v>46599</v>
      </c>
      <c r="J61" s="85">
        <v>45591</v>
      </c>
      <c r="K61" s="85">
        <v>45681</v>
      </c>
      <c r="L61" s="85" t="s">
        <v>295</v>
      </c>
      <c r="M61" s="86" t="s">
        <v>310</v>
      </c>
      <c r="N61" s="82" t="s">
        <v>1</v>
      </c>
      <c r="O61" s="87">
        <v>45754</v>
      </c>
      <c r="P61" s="82" t="s">
        <v>2</v>
      </c>
      <c r="Q61" s="82" t="s">
        <v>168</v>
      </c>
      <c r="R61" s="108"/>
      <c r="S61" s="320">
        <v>111373.57</v>
      </c>
      <c r="T61" s="108">
        <v>180632.77</v>
      </c>
      <c r="U61" s="82" t="s">
        <v>24</v>
      </c>
      <c r="V61" s="92" t="s">
        <v>806</v>
      </c>
      <c r="W61" s="109"/>
      <c r="X61" s="124"/>
      <c r="Y61" s="124"/>
      <c r="Z61" s="124"/>
      <c r="AA61" s="124"/>
      <c r="AB61" s="124"/>
      <c r="AC61" s="124">
        <v>100593.57</v>
      </c>
      <c r="AD61" s="124">
        <v>10780</v>
      </c>
      <c r="AE61" s="124"/>
      <c r="AF61" s="124"/>
      <c r="AG61" s="124"/>
      <c r="AH61" s="110"/>
      <c r="AI61" s="110"/>
      <c r="AJ61" s="110"/>
      <c r="AK61" s="124">
        <f t="shared" si="3"/>
        <v>111373.57</v>
      </c>
      <c r="AL61" s="124">
        <f t="shared" si="4"/>
        <v>0</v>
      </c>
    </row>
    <row r="62" spans="1:38" s="92" customFormat="1" ht="24.9" hidden="1" customHeight="1" x14ac:dyDescent="0.3">
      <c r="A62" s="82">
        <v>61</v>
      </c>
      <c r="B62" s="92" t="s">
        <v>17</v>
      </c>
      <c r="C62" s="82" t="s">
        <v>17</v>
      </c>
      <c r="D62" s="102" t="s">
        <v>747</v>
      </c>
      <c r="E62" s="102"/>
      <c r="F62" s="102" t="s">
        <v>973</v>
      </c>
      <c r="G62" s="115" t="s">
        <v>879</v>
      </c>
      <c r="H62" s="115"/>
      <c r="I62" s="115"/>
      <c r="J62" s="85">
        <v>45591</v>
      </c>
      <c r="K62" s="85">
        <v>45681</v>
      </c>
      <c r="L62" s="85" t="s">
        <v>897</v>
      </c>
      <c r="M62" s="102" t="s">
        <v>794</v>
      </c>
      <c r="N62" s="82" t="s">
        <v>1</v>
      </c>
      <c r="O62" s="87">
        <v>45754</v>
      </c>
      <c r="P62" s="82" t="s">
        <v>2</v>
      </c>
      <c r="Q62" s="82" t="s">
        <v>166</v>
      </c>
      <c r="R62" s="108"/>
      <c r="S62" s="320">
        <v>38659.199999999997</v>
      </c>
      <c r="T62" s="108">
        <v>180632.77</v>
      </c>
      <c r="U62" s="82" t="s">
        <v>24</v>
      </c>
      <c r="V62" s="92" t="s">
        <v>798</v>
      </c>
      <c r="W62" s="109" t="s">
        <v>809</v>
      </c>
      <c r="X62" s="110"/>
      <c r="Y62" s="110"/>
      <c r="Z62" s="110"/>
      <c r="AA62" s="110"/>
      <c r="AB62" s="110"/>
      <c r="AC62" s="110"/>
      <c r="AD62" s="110">
        <v>38659.199999999997</v>
      </c>
      <c r="AE62" s="110"/>
      <c r="AF62" s="110"/>
      <c r="AG62" s="110"/>
      <c r="AH62" s="110"/>
      <c r="AI62" s="110"/>
      <c r="AJ62" s="110"/>
      <c r="AK62" s="124">
        <f t="shared" si="3"/>
        <v>38659.199999999997</v>
      </c>
      <c r="AL62" s="124">
        <f t="shared" si="4"/>
        <v>0</v>
      </c>
    </row>
    <row r="63" spans="1:38" s="92" customFormat="1" ht="24.9" hidden="1" customHeight="1" x14ac:dyDescent="0.3">
      <c r="A63" s="82">
        <v>62</v>
      </c>
      <c r="B63" s="82" t="s">
        <v>17</v>
      </c>
      <c r="C63" s="82" t="s">
        <v>17</v>
      </c>
      <c r="D63" s="102" t="s">
        <v>734</v>
      </c>
      <c r="E63" s="102" t="s">
        <v>871</v>
      </c>
      <c r="F63" s="231" t="s">
        <v>523</v>
      </c>
      <c r="G63" s="83">
        <v>121</v>
      </c>
      <c r="H63" s="84">
        <v>45505</v>
      </c>
      <c r="I63" s="84">
        <v>46599</v>
      </c>
      <c r="J63" s="107">
        <v>45505</v>
      </c>
      <c r="K63" s="107">
        <v>45688</v>
      </c>
      <c r="L63" s="85" t="s">
        <v>872</v>
      </c>
      <c r="M63" s="86" t="s">
        <v>522</v>
      </c>
      <c r="N63" s="82" t="s">
        <v>1</v>
      </c>
      <c r="O63" s="87">
        <v>45754</v>
      </c>
      <c r="P63" s="82" t="s">
        <v>135</v>
      </c>
      <c r="Q63" s="82"/>
      <c r="R63" s="108"/>
      <c r="S63" s="276"/>
      <c r="T63" s="276">
        <v>567541.85</v>
      </c>
      <c r="U63" s="82" t="s">
        <v>24</v>
      </c>
      <c r="W63" s="109"/>
      <c r="X63" s="124"/>
      <c r="Y63" s="124">
        <v>6973.82</v>
      </c>
      <c r="Z63" s="124"/>
      <c r="AA63" s="124">
        <v>3153.94</v>
      </c>
      <c r="AB63" s="124">
        <v>1395</v>
      </c>
      <c r="AC63" s="124">
        <v>213464.14</v>
      </c>
      <c r="AD63" s="124">
        <v>83505.58</v>
      </c>
      <c r="AE63" s="124">
        <v>5296.43</v>
      </c>
      <c r="AF63" s="124">
        <v>2771.03</v>
      </c>
      <c r="AG63" s="124">
        <v>106918.89</v>
      </c>
      <c r="AH63" s="110">
        <v>16665.11</v>
      </c>
      <c r="AI63" s="110">
        <v>127397.91</v>
      </c>
      <c r="AJ63" s="110"/>
      <c r="AK63" s="124">
        <f t="shared" si="3"/>
        <v>567541.85000000009</v>
      </c>
      <c r="AL63" s="124">
        <f t="shared" si="4"/>
        <v>-567541.85000000009</v>
      </c>
    </row>
    <row r="64" spans="1:38" s="92" customFormat="1" ht="24.9" hidden="1" customHeight="1" x14ac:dyDescent="0.3">
      <c r="A64" s="82">
        <v>63</v>
      </c>
      <c r="B64" s="82" t="s">
        <v>30</v>
      </c>
      <c r="C64" s="82" t="s">
        <v>30</v>
      </c>
      <c r="D64" s="102" t="s">
        <v>742</v>
      </c>
      <c r="E64" s="102" t="s">
        <v>874</v>
      </c>
      <c r="F64" s="102" t="s">
        <v>981</v>
      </c>
      <c r="G64" s="83">
        <v>244</v>
      </c>
      <c r="H64" s="84">
        <v>42061</v>
      </c>
      <c r="I64" s="84">
        <v>46446</v>
      </c>
      <c r="J64" s="85">
        <v>45658</v>
      </c>
      <c r="K64" s="85">
        <v>45747</v>
      </c>
      <c r="L64" s="94" t="s">
        <v>295</v>
      </c>
      <c r="M64" s="86" t="s">
        <v>380</v>
      </c>
      <c r="N64" s="82" t="s">
        <v>1</v>
      </c>
      <c r="O64" s="87">
        <v>45757</v>
      </c>
      <c r="P64" s="82" t="s">
        <v>2</v>
      </c>
      <c r="Q64" s="82" t="s">
        <v>168</v>
      </c>
      <c r="R64" s="108"/>
      <c r="S64" s="99">
        <v>28000</v>
      </c>
      <c r="T64" s="108">
        <v>28000</v>
      </c>
      <c r="U64" s="82" t="s">
        <v>24</v>
      </c>
      <c r="V64" s="92" t="s">
        <v>27</v>
      </c>
      <c r="W64" s="109"/>
      <c r="X64" s="124"/>
      <c r="Y64" s="124"/>
      <c r="Z64" s="124"/>
      <c r="AA64" s="124"/>
      <c r="AB64" s="124"/>
      <c r="AC64" s="124">
        <v>18000</v>
      </c>
      <c r="AD64" s="124">
        <v>10000</v>
      </c>
      <c r="AE64" s="124"/>
      <c r="AF64" s="124"/>
      <c r="AG64" s="124"/>
      <c r="AH64" s="110"/>
      <c r="AI64" s="110"/>
      <c r="AJ64" s="110"/>
      <c r="AK64" s="124">
        <f t="shared" si="3"/>
        <v>28000</v>
      </c>
      <c r="AL64" s="124">
        <f t="shared" si="4"/>
        <v>0</v>
      </c>
    </row>
    <row r="65" spans="1:38" s="92" customFormat="1" ht="24.9" hidden="1" customHeight="1" x14ac:dyDescent="0.3">
      <c r="A65" s="82">
        <v>64</v>
      </c>
      <c r="B65" s="92" t="s">
        <v>17</v>
      </c>
      <c r="C65" s="92" t="s">
        <v>17</v>
      </c>
      <c r="D65" s="109" t="s">
        <v>756</v>
      </c>
      <c r="E65" s="109" t="s">
        <v>887</v>
      </c>
      <c r="F65" s="109" t="s">
        <v>986</v>
      </c>
      <c r="G65" s="83">
        <v>437</v>
      </c>
      <c r="H65" s="84">
        <v>43301</v>
      </c>
      <c r="I65" s="84">
        <v>45930</v>
      </c>
      <c r="J65" s="85">
        <v>45589</v>
      </c>
      <c r="K65" s="85">
        <v>45681</v>
      </c>
      <c r="L65" s="94" t="s">
        <v>295</v>
      </c>
      <c r="M65" s="109" t="s">
        <v>795</v>
      </c>
      <c r="N65" s="92" t="s">
        <v>1</v>
      </c>
      <c r="O65" s="93">
        <v>45761</v>
      </c>
      <c r="P65" s="92" t="s">
        <v>2</v>
      </c>
      <c r="Q65" s="92" t="s">
        <v>166</v>
      </c>
      <c r="R65" s="108"/>
      <c r="S65" s="320">
        <v>170000</v>
      </c>
      <c r="T65" s="108">
        <v>244250</v>
      </c>
      <c r="U65" s="92" t="s">
        <v>24</v>
      </c>
      <c r="V65" s="92" t="s">
        <v>27</v>
      </c>
      <c r="W65" s="109"/>
      <c r="X65" s="110"/>
      <c r="Y65" s="110"/>
      <c r="Z65" s="110"/>
      <c r="AA65" s="110"/>
      <c r="AB65" s="110"/>
      <c r="AC65" s="110">
        <v>170000</v>
      </c>
      <c r="AD65" s="110"/>
      <c r="AE65" s="110"/>
      <c r="AF65" s="110"/>
      <c r="AG65" s="110"/>
      <c r="AH65" s="110"/>
      <c r="AI65" s="110"/>
      <c r="AJ65" s="110"/>
      <c r="AK65" s="124">
        <f t="shared" si="3"/>
        <v>170000</v>
      </c>
      <c r="AL65" s="124">
        <f t="shared" si="4"/>
        <v>0</v>
      </c>
    </row>
    <row r="66" spans="1:38" s="92" customFormat="1" ht="24.9" hidden="1" customHeight="1" x14ac:dyDescent="0.3">
      <c r="A66" s="82">
        <v>65</v>
      </c>
      <c r="B66" s="82" t="s">
        <v>17</v>
      </c>
      <c r="C66" s="82" t="s">
        <v>17</v>
      </c>
      <c r="D66" s="102" t="s">
        <v>746</v>
      </c>
      <c r="E66" s="102" t="s">
        <v>878</v>
      </c>
      <c r="F66" s="231" t="s">
        <v>306</v>
      </c>
      <c r="G66" s="83">
        <v>12</v>
      </c>
      <c r="H66" s="84">
        <v>41852</v>
      </c>
      <c r="I66" s="84">
        <v>46599</v>
      </c>
      <c r="J66" s="85">
        <v>45646</v>
      </c>
      <c r="K66" s="85">
        <v>45681</v>
      </c>
      <c r="L66" s="85" t="s">
        <v>295</v>
      </c>
      <c r="M66" s="86" t="s">
        <v>305</v>
      </c>
      <c r="N66" s="82" t="s">
        <v>1</v>
      </c>
      <c r="O66" s="87">
        <v>45761</v>
      </c>
      <c r="P66" s="82" t="s">
        <v>2</v>
      </c>
      <c r="Q66" s="82" t="s">
        <v>168</v>
      </c>
      <c r="R66" s="108"/>
      <c r="S66" s="320">
        <v>74250</v>
      </c>
      <c r="T66" s="108">
        <v>244250</v>
      </c>
      <c r="U66" s="82" t="s">
        <v>24</v>
      </c>
      <c r="V66" s="92" t="s">
        <v>27</v>
      </c>
      <c r="W66" s="109"/>
      <c r="X66" s="124"/>
      <c r="Y66" s="124"/>
      <c r="Z66" s="124"/>
      <c r="AA66" s="124"/>
      <c r="AB66" s="124"/>
      <c r="AC66" s="124">
        <v>74250</v>
      </c>
      <c r="AD66" s="124"/>
      <c r="AE66" s="124"/>
      <c r="AF66" s="124"/>
      <c r="AG66" s="124"/>
      <c r="AH66" s="110"/>
      <c r="AI66" s="110"/>
      <c r="AJ66" s="110"/>
      <c r="AK66" s="124">
        <f>SUM(X66:AJ66)</f>
        <v>74250</v>
      </c>
      <c r="AL66" s="124">
        <f t="shared" si="4"/>
        <v>0</v>
      </c>
    </row>
    <row r="67" spans="1:38" s="92" customFormat="1" ht="24.9" hidden="1" customHeight="1" x14ac:dyDescent="0.3">
      <c r="A67" s="82">
        <v>66</v>
      </c>
      <c r="B67" s="82" t="s">
        <v>30</v>
      </c>
      <c r="C67" s="82" t="s">
        <v>30</v>
      </c>
      <c r="D67" s="131" t="s">
        <v>1107</v>
      </c>
      <c r="E67" s="102" t="s">
        <v>880</v>
      </c>
      <c r="F67" s="61" t="s">
        <v>1105</v>
      </c>
      <c r="G67" s="83">
        <v>172</v>
      </c>
      <c r="H67" s="84">
        <v>44252</v>
      </c>
      <c r="I67" s="84">
        <v>47118</v>
      </c>
      <c r="J67" s="85">
        <v>45658</v>
      </c>
      <c r="K67" s="85">
        <v>45747</v>
      </c>
      <c r="L67" s="94" t="s">
        <v>295</v>
      </c>
      <c r="M67" s="86" t="s">
        <v>386</v>
      </c>
      <c r="N67" s="82" t="s">
        <v>1</v>
      </c>
      <c r="O67" s="87">
        <v>45764</v>
      </c>
      <c r="P67" s="82" t="s">
        <v>2</v>
      </c>
      <c r="Q67" s="82" t="s">
        <v>168</v>
      </c>
      <c r="R67" s="108"/>
      <c r="S67" s="99">
        <v>5600</v>
      </c>
      <c r="T67" s="108">
        <v>5600</v>
      </c>
      <c r="U67" s="82" t="s">
        <v>24</v>
      </c>
      <c r="V67" s="92" t="s">
        <v>27</v>
      </c>
      <c r="W67" s="109"/>
      <c r="X67" s="124"/>
      <c r="Y67" s="124"/>
      <c r="Z67" s="124"/>
      <c r="AA67" s="124"/>
      <c r="AB67" s="124"/>
      <c r="AC67" s="124">
        <v>2800</v>
      </c>
      <c r="AD67" s="124">
        <v>1200</v>
      </c>
      <c r="AE67" s="124">
        <v>1600</v>
      </c>
      <c r="AF67" s="124"/>
      <c r="AG67" s="124"/>
      <c r="AH67" s="110"/>
      <c r="AI67" s="110"/>
      <c r="AJ67" s="110"/>
      <c r="AK67" s="124">
        <f>SUM(X67:AJ67)</f>
        <v>5600</v>
      </c>
      <c r="AL67" s="124">
        <f t="shared" si="4"/>
        <v>0</v>
      </c>
    </row>
    <row r="68" spans="1:38" s="92" customFormat="1" ht="24.9" customHeight="1" x14ac:dyDescent="0.3">
      <c r="A68" s="82">
        <v>67</v>
      </c>
      <c r="B68" s="82" t="s">
        <v>0</v>
      </c>
      <c r="C68" s="82" t="s">
        <v>0</v>
      </c>
      <c r="D68" s="134" t="s">
        <v>745</v>
      </c>
      <c r="E68" s="134" t="s">
        <v>863</v>
      </c>
      <c r="F68" s="134" t="s">
        <v>863</v>
      </c>
      <c r="G68" s="83">
        <v>133</v>
      </c>
      <c r="H68" s="84">
        <v>45322</v>
      </c>
      <c r="I68" s="84">
        <v>45961</v>
      </c>
      <c r="J68" s="85">
        <v>45658</v>
      </c>
      <c r="K68" s="85">
        <v>45747</v>
      </c>
      <c r="L68" s="83" t="s">
        <v>295</v>
      </c>
      <c r="M68" s="86" t="s">
        <v>286</v>
      </c>
      <c r="N68" s="82" t="s">
        <v>1</v>
      </c>
      <c r="O68" s="87">
        <v>45764</v>
      </c>
      <c r="P68" s="82" t="s">
        <v>2</v>
      </c>
      <c r="Q68" s="82" t="s">
        <v>166</v>
      </c>
      <c r="R68" s="108"/>
      <c r="S68" s="320">
        <v>410000</v>
      </c>
      <c r="T68" s="108">
        <v>410000</v>
      </c>
      <c r="U68" s="82" t="s">
        <v>24</v>
      </c>
      <c r="V68" s="92" t="s">
        <v>806</v>
      </c>
      <c r="W68" s="109" t="s">
        <v>808</v>
      </c>
      <c r="X68" s="124"/>
      <c r="Y68" s="124"/>
      <c r="Z68" s="124"/>
      <c r="AA68" s="124"/>
      <c r="AB68" s="124"/>
      <c r="AC68" s="124"/>
      <c r="AD68" s="124">
        <v>410000</v>
      </c>
      <c r="AE68" s="124"/>
      <c r="AF68" s="124"/>
      <c r="AG68" s="124"/>
      <c r="AH68" s="110"/>
      <c r="AI68" s="110"/>
      <c r="AJ68" s="110"/>
      <c r="AK68" s="124">
        <f>SUM(X68:AJ68)</f>
        <v>410000</v>
      </c>
      <c r="AL68" s="124">
        <f t="shared" si="4"/>
        <v>0</v>
      </c>
    </row>
    <row r="69" spans="1:38" s="92" customFormat="1" ht="24.9" hidden="1" customHeight="1" x14ac:dyDescent="0.3">
      <c r="A69" s="82">
        <v>68</v>
      </c>
      <c r="B69" s="82" t="s">
        <v>17</v>
      </c>
      <c r="C69" s="82" t="s">
        <v>17</v>
      </c>
      <c r="D69" s="102" t="s">
        <v>744</v>
      </c>
      <c r="E69" s="102" t="s">
        <v>871</v>
      </c>
      <c r="F69" s="231" t="s">
        <v>523</v>
      </c>
      <c r="G69" s="83">
        <v>121</v>
      </c>
      <c r="H69" s="84">
        <v>45505</v>
      </c>
      <c r="I69" s="84">
        <v>46599</v>
      </c>
      <c r="J69" s="107">
        <v>45505</v>
      </c>
      <c r="K69" s="107">
        <v>45688</v>
      </c>
      <c r="L69" s="85" t="s">
        <v>872</v>
      </c>
      <c r="M69" s="86" t="s">
        <v>522</v>
      </c>
      <c r="N69" s="82" t="s">
        <v>1</v>
      </c>
      <c r="O69" s="87">
        <v>45768</v>
      </c>
      <c r="P69" s="82" t="s">
        <v>135</v>
      </c>
      <c r="Q69" s="82"/>
      <c r="R69" s="108"/>
      <c r="S69" s="276"/>
      <c r="T69" s="276">
        <v>577312.9</v>
      </c>
      <c r="U69" s="82" t="s">
        <v>24</v>
      </c>
      <c r="W69" s="109" t="s">
        <v>759</v>
      </c>
      <c r="X69" s="124">
        <v>12326.33</v>
      </c>
      <c r="Y69" s="124">
        <v>292.25</v>
      </c>
      <c r="Z69" s="124"/>
      <c r="AA69" s="124">
        <v>13979.41</v>
      </c>
      <c r="AB69" s="124">
        <v>327.72</v>
      </c>
      <c r="AC69" s="124">
        <v>329122.23</v>
      </c>
      <c r="AD69" s="124">
        <v>123541.90999999999</v>
      </c>
      <c r="AE69" s="124">
        <v>20258.739999999998</v>
      </c>
      <c r="AF69" s="124">
        <v>4959.9399999999996</v>
      </c>
      <c r="AG69" s="124">
        <v>14374.970000000001</v>
      </c>
      <c r="AH69" s="110">
        <v>3252.77</v>
      </c>
      <c r="AI69" s="110">
        <v>54876.61</v>
      </c>
      <c r="AJ69" s="110"/>
      <c r="AK69" s="124">
        <f>SUM(X69:AJ69)</f>
        <v>577312.88</v>
      </c>
      <c r="AL69" s="124">
        <f t="shared" si="4"/>
        <v>-577312.88</v>
      </c>
    </row>
    <row r="70" spans="1:38" s="92" customFormat="1" ht="24.9" hidden="1" customHeight="1" x14ac:dyDescent="0.3">
      <c r="A70" s="82">
        <v>69</v>
      </c>
      <c r="B70" s="82" t="s">
        <v>4</v>
      </c>
      <c r="C70" s="82" t="s">
        <v>4</v>
      </c>
      <c r="D70" s="61" t="s">
        <v>1112</v>
      </c>
      <c r="E70" s="102"/>
      <c r="F70" s="138" t="s">
        <v>1006</v>
      </c>
      <c r="G70" s="59">
        <v>124</v>
      </c>
      <c r="H70" s="107">
        <v>42423</v>
      </c>
      <c r="I70" s="107">
        <v>46022</v>
      </c>
      <c r="J70" s="107">
        <v>45658</v>
      </c>
      <c r="K70" s="107">
        <v>45747</v>
      </c>
      <c r="L70" s="144" t="s">
        <v>295</v>
      </c>
      <c r="M70" s="174" t="s">
        <v>529</v>
      </c>
      <c r="N70" s="82" t="s">
        <v>5</v>
      </c>
      <c r="O70" s="87">
        <v>45771</v>
      </c>
      <c r="P70" s="82" t="s">
        <v>2</v>
      </c>
      <c r="Q70" s="82" t="s">
        <v>680</v>
      </c>
      <c r="R70" s="108"/>
      <c r="S70" s="108">
        <v>600</v>
      </c>
      <c r="T70" s="108">
        <v>600</v>
      </c>
      <c r="U70" s="82" t="s">
        <v>67</v>
      </c>
      <c r="W70" s="109"/>
      <c r="X70" s="124"/>
      <c r="Y70" s="124"/>
      <c r="Z70" s="124"/>
      <c r="AA70" s="124"/>
      <c r="AB70" s="124"/>
      <c r="AC70" s="124">
        <v>300</v>
      </c>
      <c r="AD70" s="124"/>
      <c r="AE70" s="124">
        <v>300</v>
      </c>
      <c r="AF70" s="124"/>
      <c r="AG70" s="124"/>
      <c r="AH70" s="110"/>
      <c r="AI70" s="110"/>
      <c r="AJ70" s="110"/>
      <c r="AK70" s="124"/>
      <c r="AL70" s="124"/>
    </row>
    <row r="71" spans="1:38" s="92" customFormat="1" ht="24.9" hidden="1" customHeight="1" x14ac:dyDescent="0.3">
      <c r="A71" s="82">
        <v>70</v>
      </c>
      <c r="B71" s="92" t="s">
        <v>117</v>
      </c>
      <c r="C71" s="92" t="s">
        <v>116</v>
      </c>
      <c r="D71" s="109" t="s">
        <v>755</v>
      </c>
      <c r="E71" s="109" t="s">
        <v>883</v>
      </c>
      <c r="F71" s="109" t="s">
        <v>997</v>
      </c>
      <c r="G71" s="83">
        <v>436</v>
      </c>
      <c r="H71" s="84">
        <v>45231</v>
      </c>
      <c r="I71" s="84">
        <v>45961</v>
      </c>
      <c r="J71" s="85">
        <v>45658</v>
      </c>
      <c r="K71" s="85">
        <v>45747</v>
      </c>
      <c r="L71" s="83" t="s">
        <v>295</v>
      </c>
      <c r="M71" s="92" t="s">
        <v>996</v>
      </c>
      <c r="N71" s="92" t="s">
        <v>1</v>
      </c>
      <c r="O71" s="93">
        <v>45771</v>
      </c>
      <c r="P71" s="92" t="s">
        <v>135</v>
      </c>
      <c r="R71" s="108"/>
      <c r="S71" s="99">
        <v>3931.9</v>
      </c>
      <c r="T71" s="108">
        <v>3931.9</v>
      </c>
      <c r="U71" s="92" t="s">
        <v>24</v>
      </c>
      <c r="V71" s="92" t="s">
        <v>27</v>
      </c>
      <c r="W71" s="109" t="s">
        <v>891</v>
      </c>
      <c r="X71" s="110"/>
      <c r="Y71" s="110"/>
      <c r="Z71" s="110"/>
      <c r="AA71" s="110"/>
      <c r="AB71" s="110"/>
      <c r="AC71" s="110">
        <v>3931.9</v>
      </c>
      <c r="AD71" s="110"/>
      <c r="AE71" s="110"/>
      <c r="AF71" s="110"/>
      <c r="AG71" s="110"/>
      <c r="AH71" s="110"/>
      <c r="AI71" s="110"/>
      <c r="AJ71" s="110"/>
      <c r="AK71" s="124">
        <f>SUM(X71:AJ71)</f>
        <v>3931.9</v>
      </c>
      <c r="AL71" s="124">
        <f>S71-AK71</f>
        <v>0</v>
      </c>
    </row>
    <row r="72" spans="1:38" s="92" customFormat="1" ht="24.9" hidden="1" customHeight="1" x14ac:dyDescent="0.3">
      <c r="A72" s="82">
        <v>71</v>
      </c>
      <c r="B72" s="82" t="s">
        <v>124</v>
      </c>
      <c r="C72" s="82" t="s">
        <v>124</v>
      </c>
      <c r="D72" s="102" t="s">
        <v>748</v>
      </c>
      <c r="E72" s="102" t="s">
        <v>785</v>
      </c>
      <c r="F72" s="231" t="s">
        <v>495</v>
      </c>
      <c r="G72" s="83">
        <v>106</v>
      </c>
      <c r="H72" s="84">
        <v>43617</v>
      </c>
      <c r="I72" s="84">
        <v>47239</v>
      </c>
      <c r="J72" s="84">
        <v>45658</v>
      </c>
      <c r="K72" s="84">
        <v>45747</v>
      </c>
      <c r="L72" s="83" t="s">
        <v>295</v>
      </c>
      <c r="M72" s="86" t="s">
        <v>281</v>
      </c>
      <c r="N72" s="82" t="s">
        <v>1</v>
      </c>
      <c r="O72" s="87">
        <v>45772</v>
      </c>
      <c r="P72" s="82" t="s">
        <v>275</v>
      </c>
      <c r="Q72" s="82"/>
      <c r="R72" s="108"/>
      <c r="S72" s="99">
        <v>26303.72</v>
      </c>
      <c r="T72" s="108">
        <v>26303.72</v>
      </c>
      <c r="U72" s="82" t="s">
        <v>24</v>
      </c>
      <c r="V72" s="92" t="s">
        <v>27</v>
      </c>
      <c r="W72" s="109"/>
      <c r="X72" s="110">
        <v>1184.4000000000001</v>
      </c>
      <c r="Y72" s="110"/>
      <c r="Z72" s="110"/>
      <c r="AA72" s="110">
        <v>663</v>
      </c>
      <c r="AB72" s="110"/>
      <c r="AC72" s="110">
        <v>10520.14</v>
      </c>
      <c r="AD72" s="110">
        <v>2968.94</v>
      </c>
      <c r="AE72" s="110">
        <v>1711.02</v>
      </c>
      <c r="AF72" s="110"/>
      <c r="AG72" s="110">
        <v>4767.82</v>
      </c>
      <c r="AH72" s="110"/>
      <c r="AI72" s="110">
        <v>4488.3999999999996</v>
      </c>
      <c r="AJ72" s="110"/>
      <c r="AK72" s="124">
        <f>SUM(X72:AJ72)</f>
        <v>26303.72</v>
      </c>
      <c r="AL72" s="124">
        <f>S72-AK72</f>
        <v>0</v>
      </c>
    </row>
    <row r="73" spans="1:38" s="92" customFormat="1" ht="24.9" hidden="1" customHeight="1" x14ac:dyDescent="0.3">
      <c r="A73" s="82">
        <v>72</v>
      </c>
      <c r="B73" s="92" t="s">
        <v>237</v>
      </c>
      <c r="C73" s="82" t="s">
        <v>237</v>
      </c>
      <c r="D73" s="102" t="s">
        <v>753</v>
      </c>
      <c r="E73" s="102" t="s">
        <v>815</v>
      </c>
      <c r="F73" s="231" t="s">
        <v>975</v>
      </c>
      <c r="G73" s="83">
        <v>529</v>
      </c>
      <c r="H73" s="84">
        <v>44743</v>
      </c>
      <c r="I73" s="84">
        <v>46022</v>
      </c>
      <c r="J73" s="84">
        <v>45717</v>
      </c>
      <c r="K73" s="84">
        <v>45747</v>
      </c>
      <c r="L73" s="83" t="s">
        <v>337</v>
      </c>
      <c r="M73" s="86" t="s">
        <v>793</v>
      </c>
      <c r="N73" s="82" t="s">
        <v>1</v>
      </c>
      <c r="O73" s="87">
        <v>45772</v>
      </c>
      <c r="P73" s="82" t="s">
        <v>92</v>
      </c>
      <c r="Q73" s="82"/>
      <c r="R73" s="108"/>
      <c r="S73" s="123">
        <v>5186.8599999999997</v>
      </c>
      <c r="T73" s="108">
        <v>5186.8599999999997</v>
      </c>
      <c r="U73" s="82" t="s">
        <v>24</v>
      </c>
      <c r="V73" s="92" t="s">
        <v>27</v>
      </c>
      <c r="W73" s="109"/>
      <c r="X73" s="110">
        <v>121.21</v>
      </c>
      <c r="Y73" s="110">
        <v>53.45</v>
      </c>
      <c r="Z73" s="110">
        <v>60.98</v>
      </c>
      <c r="AA73" s="110">
        <v>314.29000000000002</v>
      </c>
      <c r="AB73" s="110">
        <v>71.260000000000005</v>
      </c>
      <c r="AC73" s="110">
        <v>2811.44</v>
      </c>
      <c r="AD73" s="110">
        <v>517.11</v>
      </c>
      <c r="AE73" s="110">
        <v>237.44</v>
      </c>
      <c r="AF73" s="110">
        <v>98.66</v>
      </c>
      <c r="AG73" s="110">
        <v>563.91999999999996</v>
      </c>
      <c r="AH73" s="110">
        <v>52.66</v>
      </c>
      <c r="AI73" s="110">
        <v>284.44</v>
      </c>
      <c r="AJ73" s="110"/>
      <c r="AK73" s="124">
        <f>SUM(X73:AJ73)</f>
        <v>5186.8599999999997</v>
      </c>
      <c r="AL73" s="124">
        <f>S73-AK73</f>
        <v>0</v>
      </c>
    </row>
    <row r="74" spans="1:38" s="101" customFormat="1" ht="24.9" hidden="1" customHeight="1" x14ac:dyDescent="0.3">
      <c r="A74" s="82">
        <v>73</v>
      </c>
      <c r="B74" s="82" t="s">
        <v>738</v>
      </c>
      <c r="C74" s="82" t="s">
        <v>131</v>
      </c>
      <c r="D74" s="102" t="s">
        <v>752</v>
      </c>
      <c r="E74" s="102" t="s">
        <v>930</v>
      </c>
      <c r="F74" s="231" t="s">
        <v>492</v>
      </c>
      <c r="G74" s="83">
        <v>102</v>
      </c>
      <c r="H74" s="84">
        <v>43455</v>
      </c>
      <c r="I74" s="84">
        <v>46011</v>
      </c>
      <c r="J74" s="85">
        <v>45292</v>
      </c>
      <c r="K74" s="85">
        <v>45657</v>
      </c>
      <c r="L74" s="94" t="s">
        <v>289</v>
      </c>
      <c r="M74" s="120" t="s">
        <v>931</v>
      </c>
      <c r="N74" s="82" t="s">
        <v>1</v>
      </c>
      <c r="O74" s="87">
        <v>45773</v>
      </c>
      <c r="P74" s="82" t="s">
        <v>135</v>
      </c>
      <c r="R74" s="96"/>
      <c r="S74" s="111">
        <v>25000</v>
      </c>
      <c r="T74" s="122">
        <v>25000</v>
      </c>
      <c r="U74" s="82" t="s">
        <v>38</v>
      </c>
      <c r="V74" s="88"/>
      <c r="W74" s="104"/>
      <c r="X74" s="105"/>
      <c r="Y74" s="105"/>
      <c r="Z74" s="105"/>
      <c r="AA74" s="105"/>
      <c r="AB74" s="105"/>
      <c r="AC74" s="105">
        <v>10000</v>
      </c>
      <c r="AD74" s="105">
        <v>5000</v>
      </c>
      <c r="AE74" s="105"/>
      <c r="AF74" s="105"/>
      <c r="AG74" s="105">
        <v>5000</v>
      </c>
      <c r="AH74" s="105"/>
      <c r="AI74" s="105">
        <v>5000</v>
      </c>
      <c r="AJ74" s="105"/>
      <c r="AK74" s="90"/>
      <c r="AL74" s="90"/>
    </row>
    <row r="75" spans="1:38" s="82" customFormat="1" ht="24.9" hidden="1" customHeight="1" x14ac:dyDescent="0.3">
      <c r="A75" s="82">
        <v>74</v>
      </c>
      <c r="B75" s="82" t="s">
        <v>103</v>
      </c>
      <c r="C75" s="82" t="s">
        <v>103</v>
      </c>
      <c r="D75" s="102" t="s">
        <v>760</v>
      </c>
      <c r="E75" s="102" t="s">
        <v>936</v>
      </c>
      <c r="F75" s="231" t="s">
        <v>974</v>
      </c>
      <c r="G75" s="83">
        <v>41</v>
      </c>
      <c r="H75" s="84">
        <v>44901</v>
      </c>
      <c r="I75" s="84">
        <v>46721</v>
      </c>
      <c r="J75" s="85">
        <v>45658</v>
      </c>
      <c r="K75" s="85">
        <v>45747</v>
      </c>
      <c r="L75" s="94" t="s">
        <v>295</v>
      </c>
      <c r="M75" s="86" t="s">
        <v>353</v>
      </c>
      <c r="N75" s="82" t="s">
        <v>1</v>
      </c>
      <c r="O75" s="87">
        <v>45775</v>
      </c>
      <c r="P75" s="82" t="s">
        <v>275</v>
      </c>
      <c r="R75" s="108"/>
      <c r="S75" s="99">
        <v>11725.42</v>
      </c>
      <c r="T75" s="122">
        <v>11725.42</v>
      </c>
      <c r="U75" s="82" t="s">
        <v>38</v>
      </c>
      <c r="V75" s="92"/>
      <c r="W75" s="102"/>
      <c r="X75" s="124">
        <v>96.91</v>
      </c>
      <c r="Y75" s="124">
        <v>6.75</v>
      </c>
      <c r="Z75" s="124">
        <v>21.94</v>
      </c>
      <c r="AA75" s="124"/>
      <c r="AB75" s="124"/>
      <c r="AC75" s="124">
        <f>1321.88+6736.75</f>
        <v>8058.63</v>
      </c>
      <c r="AD75" s="124">
        <f>1065.43+10.65</f>
        <v>1076.0800000000002</v>
      </c>
      <c r="AE75" s="124">
        <v>10.85</v>
      </c>
      <c r="AF75" s="124"/>
      <c r="AG75" s="124">
        <f>784.11+631.56</f>
        <v>1415.67</v>
      </c>
      <c r="AH75" s="124"/>
      <c r="AI75" s="124">
        <v>987.39</v>
      </c>
      <c r="AJ75" s="124">
        <v>51.2</v>
      </c>
      <c r="AK75" s="124">
        <f>SUM(X75:AJ75)</f>
        <v>11725.420000000002</v>
      </c>
      <c r="AL75" s="124">
        <f t="shared" ref="AL75:AL110" si="5">S75-AK75</f>
        <v>0</v>
      </c>
    </row>
    <row r="76" spans="1:38" s="92" customFormat="1" ht="24.9" hidden="1" customHeight="1" x14ac:dyDescent="0.3">
      <c r="A76" s="82">
        <v>75</v>
      </c>
      <c r="B76" s="92" t="s">
        <v>248</v>
      </c>
      <c r="C76" s="82" t="s">
        <v>114</v>
      </c>
      <c r="D76" s="102" t="s">
        <v>764</v>
      </c>
      <c r="E76" s="58" t="s">
        <v>786</v>
      </c>
      <c r="F76" s="231" t="s">
        <v>329</v>
      </c>
      <c r="G76" s="83">
        <v>32</v>
      </c>
      <c r="H76" s="84">
        <v>43067</v>
      </c>
      <c r="I76" s="84">
        <v>45989</v>
      </c>
      <c r="J76" s="84">
        <v>45658</v>
      </c>
      <c r="K76" s="84">
        <v>45747</v>
      </c>
      <c r="L76" s="83" t="s">
        <v>295</v>
      </c>
      <c r="M76" s="86" t="s">
        <v>327</v>
      </c>
      <c r="N76" s="82" t="s">
        <v>1</v>
      </c>
      <c r="O76" s="87">
        <v>45777</v>
      </c>
      <c r="P76" s="82" t="s">
        <v>92</v>
      </c>
      <c r="Q76" s="82"/>
      <c r="R76" s="108"/>
      <c r="S76" s="123">
        <v>201769.02</v>
      </c>
      <c r="T76" s="108">
        <v>201769.02</v>
      </c>
      <c r="U76" s="82" t="s">
        <v>24</v>
      </c>
      <c r="V76" s="92" t="s">
        <v>27</v>
      </c>
      <c r="W76" s="109"/>
      <c r="X76" s="110">
        <v>33087.360000000001</v>
      </c>
      <c r="Y76" s="110">
        <v>7150.01</v>
      </c>
      <c r="Z76" s="110"/>
      <c r="AA76" s="110">
        <v>7297.06</v>
      </c>
      <c r="AB76" s="110"/>
      <c r="AC76" s="110">
        <v>73335.88</v>
      </c>
      <c r="AD76" s="110">
        <v>35035.22</v>
      </c>
      <c r="AE76" s="110">
        <v>9412.07</v>
      </c>
      <c r="AF76" s="110"/>
      <c r="AG76" s="110">
        <v>35174.86</v>
      </c>
      <c r="AH76" s="110">
        <v>1276.56</v>
      </c>
      <c r="AI76" s="110"/>
      <c r="AJ76" s="110"/>
      <c r="AK76" s="124">
        <f>SUM(X76:AJ76)</f>
        <v>201769.02000000002</v>
      </c>
      <c r="AL76" s="124">
        <f t="shared" si="5"/>
        <v>0</v>
      </c>
    </row>
    <row r="77" spans="1:38" s="92" customFormat="1" ht="24.9" hidden="1" customHeight="1" x14ac:dyDescent="0.3">
      <c r="A77" s="82">
        <v>76</v>
      </c>
      <c r="B77" s="92" t="s">
        <v>17</v>
      </c>
      <c r="C77" s="82" t="s">
        <v>17</v>
      </c>
      <c r="D77" s="102" t="s">
        <v>758</v>
      </c>
      <c r="E77" s="102" t="s">
        <v>871</v>
      </c>
      <c r="F77" s="231" t="s">
        <v>523</v>
      </c>
      <c r="G77" s="83">
        <v>121</v>
      </c>
      <c r="H77" s="84">
        <v>45505</v>
      </c>
      <c r="I77" s="84">
        <v>46599</v>
      </c>
      <c r="J77" s="59"/>
      <c r="K77" s="59"/>
      <c r="L77" s="59" t="s">
        <v>897</v>
      </c>
      <c r="M77" s="86" t="s">
        <v>522</v>
      </c>
      <c r="N77" s="82"/>
      <c r="O77" s="87">
        <v>45777</v>
      </c>
      <c r="P77" s="82" t="s">
        <v>2</v>
      </c>
      <c r="Q77" s="82"/>
      <c r="R77" s="108"/>
      <c r="S77" s="276">
        <v>852772</v>
      </c>
      <c r="T77" s="276"/>
      <c r="U77" s="82" t="s">
        <v>24</v>
      </c>
      <c r="V77" s="92" t="s">
        <v>27</v>
      </c>
      <c r="W77" s="109"/>
      <c r="X77" s="110"/>
      <c r="Y77" s="110"/>
      <c r="Z77" s="110"/>
      <c r="AA77" s="110"/>
      <c r="AB77" s="110"/>
      <c r="AC77" s="110"/>
      <c r="AD77" s="110"/>
      <c r="AE77" s="110"/>
      <c r="AF77" s="110"/>
      <c r="AG77" s="110"/>
      <c r="AH77" s="110"/>
      <c r="AI77" s="110"/>
      <c r="AJ77" s="110"/>
      <c r="AK77" s="124">
        <v>852772</v>
      </c>
      <c r="AL77" s="124">
        <f t="shared" si="5"/>
        <v>0</v>
      </c>
    </row>
    <row r="78" spans="1:38" s="92" customFormat="1" ht="24.9" hidden="1" customHeight="1" x14ac:dyDescent="0.3">
      <c r="A78" s="82">
        <v>77</v>
      </c>
      <c r="B78" s="92" t="s">
        <v>30</v>
      </c>
      <c r="C78" s="82" t="s">
        <v>30</v>
      </c>
      <c r="D78" s="102" t="s">
        <v>761</v>
      </c>
      <c r="E78" s="102" t="s">
        <v>874</v>
      </c>
      <c r="F78" s="102" t="s">
        <v>988</v>
      </c>
      <c r="G78" s="83">
        <v>244</v>
      </c>
      <c r="H78" s="84">
        <v>42061</v>
      </c>
      <c r="I78" s="84">
        <v>46446</v>
      </c>
      <c r="J78" s="85">
        <v>45566</v>
      </c>
      <c r="K78" s="85">
        <v>45657</v>
      </c>
      <c r="L78" s="94" t="s">
        <v>295</v>
      </c>
      <c r="M78" s="86" t="s">
        <v>380</v>
      </c>
      <c r="N78" s="82" t="s">
        <v>1</v>
      </c>
      <c r="O78" s="87">
        <v>45778</v>
      </c>
      <c r="P78" s="82" t="s">
        <v>2</v>
      </c>
      <c r="Q78" s="82" t="s">
        <v>168</v>
      </c>
      <c r="R78" s="108"/>
      <c r="S78" s="99">
        <v>22500</v>
      </c>
      <c r="T78" s="108">
        <v>22500</v>
      </c>
      <c r="U78" s="82" t="s">
        <v>29</v>
      </c>
      <c r="V78" s="92" t="s">
        <v>27</v>
      </c>
      <c r="W78" s="109"/>
      <c r="X78" s="110"/>
      <c r="Y78" s="110"/>
      <c r="Z78" s="110"/>
      <c r="AA78" s="110"/>
      <c r="AB78" s="110"/>
      <c r="AC78" s="110">
        <v>22500</v>
      </c>
      <c r="AD78" s="110"/>
      <c r="AE78" s="110"/>
      <c r="AF78" s="110"/>
      <c r="AG78" s="110"/>
      <c r="AH78" s="110"/>
      <c r="AI78" s="110"/>
      <c r="AJ78" s="110"/>
      <c r="AK78" s="124">
        <f t="shared" ref="AK78:AK116" si="6">SUM(X78:AJ78)</f>
        <v>22500</v>
      </c>
      <c r="AL78" s="124">
        <f t="shared" si="5"/>
        <v>0</v>
      </c>
    </row>
    <row r="79" spans="1:38" s="92" customFormat="1" ht="24.9" hidden="1" customHeight="1" x14ac:dyDescent="0.3">
      <c r="A79" s="82">
        <v>78</v>
      </c>
      <c r="B79" s="92" t="s">
        <v>80</v>
      </c>
      <c r="C79" s="82" t="s">
        <v>80</v>
      </c>
      <c r="D79" s="102" t="s">
        <v>754</v>
      </c>
      <c r="E79" s="102"/>
      <c r="F79" s="102" t="s">
        <v>989</v>
      </c>
      <c r="G79" s="83"/>
      <c r="H79" s="83"/>
      <c r="I79" s="83"/>
      <c r="J79" s="94"/>
      <c r="K79" s="94"/>
      <c r="L79" s="94"/>
      <c r="M79" s="109" t="s">
        <v>879</v>
      </c>
      <c r="N79" s="82" t="s">
        <v>1</v>
      </c>
      <c r="O79" s="87">
        <v>45778</v>
      </c>
      <c r="P79" s="82" t="s">
        <v>92</v>
      </c>
      <c r="Q79" s="82"/>
      <c r="R79" s="108"/>
      <c r="S79" s="108"/>
      <c r="T79" s="108">
        <v>1012031.34</v>
      </c>
      <c r="U79" s="82" t="s">
        <v>29</v>
      </c>
      <c r="W79" s="109"/>
      <c r="X79" s="110">
        <v>110590.78</v>
      </c>
      <c r="Y79" s="110">
        <v>43841.02</v>
      </c>
      <c r="Z79" s="110"/>
      <c r="AA79" s="110">
        <v>36700.339999999997</v>
      </c>
      <c r="AB79" s="110"/>
      <c r="AC79" s="110">
        <v>330458.56</v>
      </c>
      <c r="AD79" s="110">
        <v>96212.17</v>
      </c>
      <c r="AE79" s="110">
        <v>117295.39</v>
      </c>
      <c r="AF79" s="110"/>
      <c r="AG79" s="110">
        <v>108905.27</v>
      </c>
      <c r="AH79" s="110">
        <v>34646.639999999999</v>
      </c>
      <c r="AI79" s="110">
        <v>133381.17000000001</v>
      </c>
      <c r="AJ79" s="110"/>
      <c r="AK79" s="124">
        <f t="shared" si="6"/>
        <v>1012031.3400000001</v>
      </c>
      <c r="AL79" s="124">
        <f t="shared" si="5"/>
        <v>-1012031.3400000001</v>
      </c>
    </row>
    <row r="80" spans="1:38" s="92" customFormat="1" ht="24.9" hidden="1" customHeight="1" x14ac:dyDescent="0.3">
      <c r="A80" s="82">
        <v>79</v>
      </c>
      <c r="B80" s="92" t="s">
        <v>17</v>
      </c>
      <c r="C80" s="82" t="s">
        <v>17</v>
      </c>
      <c r="D80" s="102" t="s">
        <v>762</v>
      </c>
      <c r="E80" s="102" t="s">
        <v>771</v>
      </c>
      <c r="F80" s="102"/>
      <c r="G80" s="83">
        <v>18</v>
      </c>
      <c r="H80" s="84">
        <v>43452</v>
      </c>
      <c r="I80" s="84">
        <v>46387</v>
      </c>
      <c r="J80" s="85">
        <v>45682</v>
      </c>
      <c r="K80" s="85">
        <v>45772</v>
      </c>
      <c r="L80" s="85" t="s">
        <v>295</v>
      </c>
      <c r="M80" s="86" t="s">
        <v>310</v>
      </c>
      <c r="N80" s="82" t="s">
        <v>1</v>
      </c>
      <c r="O80" s="87">
        <v>45782</v>
      </c>
      <c r="P80" s="82" t="s">
        <v>2</v>
      </c>
      <c r="Q80" s="82" t="s">
        <v>168</v>
      </c>
      <c r="R80" s="108"/>
      <c r="S80" s="319">
        <v>765</v>
      </c>
      <c r="T80" s="108">
        <v>765</v>
      </c>
      <c r="U80" s="82" t="s">
        <v>29</v>
      </c>
      <c r="V80" s="92" t="s">
        <v>27</v>
      </c>
      <c r="W80" s="109"/>
      <c r="X80" s="110"/>
      <c r="Y80" s="110"/>
      <c r="Z80" s="110"/>
      <c r="AA80" s="110"/>
      <c r="AB80" s="110"/>
      <c r="AC80" s="110">
        <v>765</v>
      </c>
      <c r="AD80" s="110"/>
      <c r="AE80" s="110"/>
      <c r="AF80" s="110"/>
      <c r="AG80" s="110"/>
      <c r="AH80" s="110"/>
      <c r="AI80" s="110"/>
      <c r="AJ80" s="110"/>
      <c r="AK80" s="124">
        <f t="shared" si="6"/>
        <v>765</v>
      </c>
      <c r="AL80" s="124">
        <f t="shared" si="5"/>
        <v>0</v>
      </c>
    </row>
    <row r="81" spans="1:38" s="92" customFormat="1" ht="24.9" customHeight="1" x14ac:dyDescent="0.3">
      <c r="A81" s="82">
        <v>80</v>
      </c>
      <c r="B81" s="92" t="s">
        <v>0</v>
      </c>
      <c r="C81" s="82" t="s">
        <v>0</v>
      </c>
      <c r="D81" s="102" t="s">
        <v>763</v>
      </c>
      <c r="E81" s="102" t="s">
        <v>774</v>
      </c>
      <c r="F81" s="231" t="s">
        <v>416</v>
      </c>
      <c r="G81" s="83">
        <v>72</v>
      </c>
      <c r="H81" s="84">
        <v>44914</v>
      </c>
      <c r="I81" s="84">
        <v>46471</v>
      </c>
      <c r="J81" s="85">
        <v>45658</v>
      </c>
      <c r="K81" s="85">
        <v>45747</v>
      </c>
      <c r="L81" s="83" t="s">
        <v>295</v>
      </c>
      <c r="M81" s="86" t="s">
        <v>415</v>
      </c>
      <c r="N81" s="82" t="s">
        <v>1</v>
      </c>
      <c r="O81" s="87">
        <v>45786</v>
      </c>
      <c r="P81" s="82" t="s">
        <v>135</v>
      </c>
      <c r="Q81" s="82"/>
      <c r="R81" s="127"/>
      <c r="S81" s="319">
        <v>10913.63</v>
      </c>
      <c r="T81" s="108">
        <v>10913.63</v>
      </c>
      <c r="U81" s="82" t="s">
        <v>29</v>
      </c>
      <c r="V81" s="92" t="s">
        <v>27</v>
      </c>
      <c r="W81" s="109"/>
      <c r="X81" s="110">
        <v>1625.85</v>
      </c>
      <c r="Y81" s="110"/>
      <c r="Z81" s="110"/>
      <c r="AA81" s="110"/>
      <c r="AB81" s="110"/>
      <c r="AC81" s="110">
        <v>816.75</v>
      </c>
      <c r="AD81" s="110">
        <v>8471.0300000000007</v>
      </c>
      <c r="AE81" s="110"/>
      <c r="AF81" s="110"/>
      <c r="AG81" s="110"/>
      <c r="AH81" s="110"/>
      <c r="AI81" s="110"/>
      <c r="AJ81" s="110"/>
      <c r="AK81" s="124">
        <f t="shared" si="6"/>
        <v>10913.630000000001</v>
      </c>
      <c r="AL81" s="124">
        <f t="shared" si="5"/>
        <v>0</v>
      </c>
    </row>
    <row r="82" spans="1:38" s="92" customFormat="1" ht="24.9" hidden="1" customHeight="1" x14ac:dyDescent="0.3">
      <c r="A82" s="82">
        <v>81</v>
      </c>
      <c r="B82" s="92" t="s">
        <v>117</v>
      </c>
      <c r="C82" s="109" t="s">
        <v>116</v>
      </c>
      <c r="D82" s="109" t="s">
        <v>998</v>
      </c>
      <c r="E82" s="109" t="s">
        <v>883</v>
      </c>
      <c r="F82" s="109" t="s">
        <v>997</v>
      </c>
      <c r="G82" s="83">
        <v>436</v>
      </c>
      <c r="H82" s="84">
        <v>45231</v>
      </c>
      <c r="I82" s="84">
        <v>45961</v>
      </c>
      <c r="J82" s="85">
        <v>45231</v>
      </c>
      <c r="K82" s="85">
        <v>45596</v>
      </c>
      <c r="L82" s="83" t="s">
        <v>295</v>
      </c>
      <c r="M82" s="92" t="s">
        <v>996</v>
      </c>
      <c r="N82" s="92" t="s">
        <v>1</v>
      </c>
      <c r="O82" s="93">
        <v>45786</v>
      </c>
      <c r="P82" s="92" t="s">
        <v>135</v>
      </c>
      <c r="R82" s="108"/>
      <c r="S82" s="123">
        <v>127397.49</v>
      </c>
      <c r="T82" s="108">
        <v>127397.49</v>
      </c>
      <c r="U82" s="92" t="s">
        <v>29</v>
      </c>
      <c r="V82" s="92" t="s">
        <v>27</v>
      </c>
      <c r="W82" s="109" t="s">
        <v>891</v>
      </c>
      <c r="X82" s="110">
        <v>941.72</v>
      </c>
      <c r="Y82" s="110"/>
      <c r="Z82" s="110"/>
      <c r="AA82" s="110">
        <v>3539.63</v>
      </c>
      <c r="AB82" s="110"/>
      <c r="AC82" s="110">
        <f>1.25+936.73+817.07+55683.95</f>
        <v>57439</v>
      </c>
      <c r="AD82" s="110">
        <f>6870.29+12127.49</f>
        <v>18997.78</v>
      </c>
      <c r="AE82" s="110">
        <f>843.43+3014.62</f>
        <v>3858.0499999999997</v>
      </c>
      <c r="AF82" s="110"/>
      <c r="AG82" s="110">
        <v>30467.84</v>
      </c>
      <c r="AH82" s="110">
        <v>2038.5</v>
      </c>
      <c r="AI82" s="110">
        <v>10114.969999999999</v>
      </c>
      <c r="AJ82" s="110"/>
      <c r="AK82" s="124">
        <f t="shared" si="6"/>
        <v>127397.49</v>
      </c>
      <c r="AL82" s="124">
        <f t="shared" si="5"/>
        <v>0</v>
      </c>
    </row>
    <row r="83" spans="1:38" s="92" customFormat="1" ht="24.9" hidden="1" customHeight="1" x14ac:dyDescent="0.3">
      <c r="A83" s="82">
        <v>82</v>
      </c>
      <c r="B83" s="92" t="s">
        <v>10</v>
      </c>
      <c r="C83" s="82" t="s">
        <v>10</v>
      </c>
      <c r="D83" s="102" t="s">
        <v>765</v>
      </c>
      <c r="E83" s="102" t="s">
        <v>875</v>
      </c>
      <c r="F83" s="102" t="s">
        <v>990</v>
      </c>
      <c r="G83" s="83">
        <v>101</v>
      </c>
      <c r="H83" s="84">
        <v>42881</v>
      </c>
      <c r="I83" s="84">
        <v>46112</v>
      </c>
      <c r="J83" s="85">
        <v>45658</v>
      </c>
      <c r="K83" s="85">
        <v>45747</v>
      </c>
      <c r="L83" s="94" t="s">
        <v>295</v>
      </c>
      <c r="M83" s="86" t="s">
        <v>475</v>
      </c>
      <c r="N83" s="82" t="s">
        <v>1</v>
      </c>
      <c r="O83" s="87">
        <v>45792</v>
      </c>
      <c r="P83" s="82" t="s">
        <v>2</v>
      </c>
      <c r="Q83" s="82" t="s">
        <v>168</v>
      </c>
      <c r="R83" s="108"/>
      <c r="S83" s="123">
        <v>7500</v>
      </c>
      <c r="T83" s="108">
        <v>379500</v>
      </c>
      <c r="U83" s="82" t="s">
        <v>29</v>
      </c>
      <c r="V83" s="92" t="s">
        <v>27</v>
      </c>
      <c r="W83" s="109"/>
      <c r="X83" s="110"/>
      <c r="Y83" s="110"/>
      <c r="Z83" s="110"/>
      <c r="AA83" s="110"/>
      <c r="AB83" s="110"/>
      <c r="AC83" s="110"/>
      <c r="AD83" s="110">
        <v>7500</v>
      </c>
      <c r="AE83" s="110"/>
      <c r="AF83" s="110"/>
      <c r="AG83" s="110"/>
      <c r="AH83" s="110"/>
      <c r="AI83" s="110"/>
      <c r="AJ83" s="110"/>
      <c r="AK83" s="124">
        <f t="shared" si="6"/>
        <v>7500</v>
      </c>
      <c r="AL83" s="124">
        <f t="shared" si="5"/>
        <v>0</v>
      </c>
    </row>
    <row r="84" spans="1:38" s="92" customFormat="1" ht="24.9" hidden="1" customHeight="1" x14ac:dyDescent="0.3">
      <c r="A84" s="82">
        <v>83</v>
      </c>
      <c r="B84" s="92" t="s">
        <v>10</v>
      </c>
      <c r="C84" s="82" t="s">
        <v>10</v>
      </c>
      <c r="D84" s="102" t="s">
        <v>765</v>
      </c>
      <c r="E84" s="102" t="s">
        <v>875</v>
      </c>
      <c r="F84" s="102" t="s">
        <v>991</v>
      </c>
      <c r="G84" s="83">
        <v>101</v>
      </c>
      <c r="H84" s="84">
        <v>42881</v>
      </c>
      <c r="I84" s="84">
        <v>46112</v>
      </c>
      <c r="J84" s="85">
        <v>45658</v>
      </c>
      <c r="K84" s="85">
        <v>45747</v>
      </c>
      <c r="L84" s="94" t="s">
        <v>295</v>
      </c>
      <c r="M84" s="86" t="s">
        <v>475</v>
      </c>
      <c r="N84" s="82" t="s">
        <v>1</v>
      </c>
      <c r="O84" s="87">
        <v>45792</v>
      </c>
      <c r="P84" s="82" t="s">
        <v>2</v>
      </c>
      <c r="Q84" s="82" t="s">
        <v>168</v>
      </c>
      <c r="R84" s="108"/>
      <c r="S84" s="123">
        <v>372000</v>
      </c>
      <c r="T84" s="108">
        <v>379500</v>
      </c>
      <c r="U84" s="82" t="s">
        <v>29</v>
      </c>
      <c r="V84" s="92" t="s">
        <v>27</v>
      </c>
      <c r="W84" s="109"/>
      <c r="X84" s="110"/>
      <c r="Y84" s="110"/>
      <c r="Z84" s="110"/>
      <c r="AA84" s="110"/>
      <c r="AB84" s="110"/>
      <c r="AC84" s="110">
        <v>372000</v>
      </c>
      <c r="AD84" s="110"/>
      <c r="AE84" s="110"/>
      <c r="AF84" s="110"/>
      <c r="AG84" s="110"/>
      <c r="AH84" s="110"/>
      <c r="AI84" s="110"/>
      <c r="AJ84" s="110"/>
      <c r="AK84" s="124">
        <f t="shared" si="6"/>
        <v>372000</v>
      </c>
      <c r="AL84" s="124">
        <f t="shared" si="5"/>
        <v>0</v>
      </c>
    </row>
    <row r="85" spans="1:38" s="92" customFormat="1" ht="24.9" hidden="1" customHeight="1" x14ac:dyDescent="0.3">
      <c r="A85" s="82">
        <v>84</v>
      </c>
      <c r="B85" s="92" t="s">
        <v>237</v>
      </c>
      <c r="C85" s="82" t="s">
        <v>237</v>
      </c>
      <c r="D85" s="102" t="s">
        <v>802</v>
      </c>
      <c r="E85" s="102" t="s">
        <v>815</v>
      </c>
      <c r="F85" s="231" t="s">
        <v>975</v>
      </c>
      <c r="G85" s="83">
        <v>529</v>
      </c>
      <c r="H85" s="84">
        <v>44743</v>
      </c>
      <c r="I85" s="84">
        <v>46022</v>
      </c>
      <c r="J85" s="85">
        <v>45748</v>
      </c>
      <c r="K85" s="85">
        <v>45777</v>
      </c>
      <c r="L85" s="83" t="s">
        <v>337</v>
      </c>
      <c r="M85" s="86" t="s">
        <v>793</v>
      </c>
      <c r="N85" s="82" t="s">
        <v>1</v>
      </c>
      <c r="O85" s="87">
        <v>45799</v>
      </c>
      <c r="P85" s="82" t="s">
        <v>92</v>
      </c>
      <c r="Q85" s="82"/>
      <c r="R85" s="108"/>
      <c r="S85" s="99">
        <v>3792.34</v>
      </c>
      <c r="T85" s="108">
        <v>3792.34</v>
      </c>
      <c r="U85" s="82" t="s">
        <v>29</v>
      </c>
      <c r="V85" s="92" t="s">
        <v>27</v>
      </c>
      <c r="W85" s="109"/>
      <c r="X85" s="110">
        <v>49.01</v>
      </c>
      <c r="Y85" s="110">
        <v>39.950000000000003</v>
      </c>
      <c r="Z85" s="110">
        <v>48.45</v>
      </c>
      <c r="AA85" s="110">
        <v>219.79999999999998</v>
      </c>
      <c r="AB85" s="110">
        <v>159.67000000000002</v>
      </c>
      <c r="AC85" s="110">
        <v>1699.31</v>
      </c>
      <c r="AD85" s="110">
        <v>377.97999999999996</v>
      </c>
      <c r="AE85" s="110">
        <v>297.86</v>
      </c>
      <c r="AF85" s="110">
        <v>5.09</v>
      </c>
      <c r="AG85" s="110">
        <v>578.19000000000005</v>
      </c>
      <c r="AH85" s="110">
        <v>13.12</v>
      </c>
      <c r="AI85" s="110">
        <v>280.60000000000002</v>
      </c>
      <c r="AJ85" s="110">
        <v>23.31</v>
      </c>
      <c r="AK85" s="124">
        <f t="shared" si="6"/>
        <v>3792.34</v>
      </c>
      <c r="AL85" s="124">
        <f t="shared" si="5"/>
        <v>0</v>
      </c>
    </row>
    <row r="86" spans="1:38" s="92" customFormat="1" ht="24.9" hidden="1" customHeight="1" x14ac:dyDescent="0.3">
      <c r="A86" s="82">
        <v>85</v>
      </c>
      <c r="B86" s="92" t="s">
        <v>105</v>
      </c>
      <c r="C86" s="92" t="s">
        <v>105</v>
      </c>
      <c r="D86" s="102" t="s">
        <v>844</v>
      </c>
      <c r="E86" s="102" t="s">
        <v>805</v>
      </c>
      <c r="F86" s="231" t="s">
        <v>992</v>
      </c>
      <c r="G86" s="83">
        <v>61</v>
      </c>
      <c r="H86" s="84">
        <v>44498</v>
      </c>
      <c r="I86" s="84">
        <v>46356</v>
      </c>
      <c r="J86" s="85">
        <v>45261</v>
      </c>
      <c r="K86" s="85">
        <v>45626</v>
      </c>
      <c r="L86" s="94" t="s">
        <v>289</v>
      </c>
      <c r="M86" s="86" t="s">
        <v>393</v>
      </c>
      <c r="N86" s="82" t="s">
        <v>19</v>
      </c>
      <c r="O86" s="87">
        <v>45799</v>
      </c>
      <c r="P86" s="82" t="s">
        <v>804</v>
      </c>
      <c r="Q86" s="82"/>
      <c r="R86" s="108"/>
      <c r="S86" s="99">
        <v>482717.2</v>
      </c>
      <c r="T86" s="108">
        <v>482717.2</v>
      </c>
      <c r="U86" s="82" t="s">
        <v>29</v>
      </c>
      <c r="V86" s="92" t="s">
        <v>27</v>
      </c>
      <c r="W86" s="109"/>
      <c r="X86" s="110">
        <f>681.44+4514.8-61.84</f>
        <v>5134.3999999999996</v>
      </c>
      <c r="Y86" s="110"/>
      <c r="Z86" s="110"/>
      <c r="AA86" s="110"/>
      <c r="AB86" s="110">
        <v>18036.32</v>
      </c>
      <c r="AC86" s="110">
        <f>965.36+148991.76</f>
        <v>149957.12</v>
      </c>
      <c r="AD86" s="110">
        <f>11839.84+211768.8-606.32+834.48</f>
        <v>223836.79999999999</v>
      </c>
      <c r="AE86" s="110">
        <v>2722.96</v>
      </c>
      <c r="AF86" s="110"/>
      <c r="AG86" s="110">
        <v>30514.720000000001</v>
      </c>
      <c r="AH86" s="110">
        <v>8479.6</v>
      </c>
      <c r="AI86" s="110">
        <v>44035.28</v>
      </c>
      <c r="AJ86" s="110"/>
      <c r="AK86" s="124">
        <f t="shared" si="6"/>
        <v>482717.20000000007</v>
      </c>
      <c r="AL86" s="124">
        <f t="shared" si="5"/>
        <v>0</v>
      </c>
    </row>
    <row r="87" spans="1:38" s="92" customFormat="1" ht="24.9" customHeight="1" x14ac:dyDescent="0.3">
      <c r="A87" s="82">
        <v>86</v>
      </c>
      <c r="B87" s="82" t="s">
        <v>0</v>
      </c>
      <c r="C87" s="82" t="s">
        <v>0</v>
      </c>
      <c r="D87" s="102" t="s">
        <v>803</v>
      </c>
      <c r="E87" s="102" t="s">
        <v>770</v>
      </c>
      <c r="F87" s="231"/>
      <c r="G87" s="83">
        <v>83</v>
      </c>
      <c r="H87" s="84">
        <v>44287</v>
      </c>
      <c r="I87" s="84">
        <v>46660</v>
      </c>
      <c r="J87" s="85">
        <v>45658</v>
      </c>
      <c r="K87" s="85">
        <v>45747</v>
      </c>
      <c r="L87" s="94" t="s">
        <v>295</v>
      </c>
      <c r="M87" s="86" t="s">
        <v>679</v>
      </c>
      <c r="N87" s="92" t="s">
        <v>1</v>
      </c>
      <c r="O87" s="93">
        <v>45800</v>
      </c>
      <c r="P87" s="92" t="s">
        <v>2</v>
      </c>
      <c r="Q87" s="92" t="s">
        <v>166</v>
      </c>
      <c r="R87" s="108"/>
      <c r="S87" s="320">
        <v>159297.18</v>
      </c>
      <c r="T87" s="108">
        <v>159297.18</v>
      </c>
      <c r="U87" s="92" t="s">
        <v>29</v>
      </c>
      <c r="V87" s="92" t="s">
        <v>27</v>
      </c>
      <c r="W87" s="109"/>
      <c r="X87" s="124"/>
      <c r="Y87" s="124"/>
      <c r="Z87" s="124"/>
      <c r="AA87" s="124">
        <v>97.41</v>
      </c>
      <c r="AB87" s="124"/>
      <c r="AC87" s="124">
        <v>66240.78</v>
      </c>
      <c r="AD87" s="124">
        <v>57613.06</v>
      </c>
      <c r="AE87" s="124">
        <v>9353.8700000000008</v>
      </c>
      <c r="AF87" s="124"/>
      <c r="AG87" s="124"/>
      <c r="AH87" s="124"/>
      <c r="AI87" s="124">
        <v>25992.06</v>
      </c>
      <c r="AJ87" s="124"/>
      <c r="AK87" s="124">
        <f t="shared" si="6"/>
        <v>159297.18</v>
      </c>
      <c r="AL87" s="124">
        <f t="shared" si="5"/>
        <v>0</v>
      </c>
    </row>
    <row r="88" spans="1:38" s="92" customFormat="1" ht="24.9" hidden="1" customHeight="1" x14ac:dyDescent="0.3">
      <c r="A88" s="82">
        <v>87</v>
      </c>
      <c r="B88" s="82" t="s">
        <v>117</v>
      </c>
      <c r="C88" s="82" t="s">
        <v>825</v>
      </c>
      <c r="D88" s="102" t="s">
        <v>826</v>
      </c>
      <c r="E88" s="102" t="s">
        <v>890</v>
      </c>
      <c r="F88" s="231" t="s">
        <v>993</v>
      </c>
      <c r="G88" s="83">
        <v>35</v>
      </c>
      <c r="H88" s="84">
        <v>44805</v>
      </c>
      <c r="I88" s="84">
        <v>46630</v>
      </c>
      <c r="J88" s="85">
        <v>45170</v>
      </c>
      <c r="K88" s="85">
        <v>45535</v>
      </c>
      <c r="L88" s="94" t="s">
        <v>289</v>
      </c>
      <c r="M88" s="86" t="s">
        <v>332</v>
      </c>
      <c r="N88" s="92" t="s">
        <v>1</v>
      </c>
      <c r="O88" s="93">
        <v>45817</v>
      </c>
      <c r="P88" s="92" t="s">
        <v>135</v>
      </c>
      <c r="R88" s="108"/>
      <c r="S88" s="99">
        <v>1011559.58</v>
      </c>
      <c r="T88" s="108">
        <v>1011559.58</v>
      </c>
      <c r="U88" s="92" t="s">
        <v>31</v>
      </c>
      <c r="V88" s="92" t="s">
        <v>27</v>
      </c>
      <c r="W88" s="109"/>
      <c r="X88" s="124">
        <v>32.4</v>
      </c>
      <c r="Y88" s="124">
        <v>65.52</v>
      </c>
      <c r="Z88" s="124"/>
      <c r="AA88" s="124">
        <v>31176</v>
      </c>
      <c r="AB88" s="124"/>
      <c r="AC88" s="124">
        <f>29.03+10.95+653554.55+3623.95</f>
        <v>657218.48</v>
      </c>
      <c r="AD88" s="124">
        <v>124255.8</v>
      </c>
      <c r="AE88" s="124">
        <v>37971.839999999997</v>
      </c>
      <c r="AF88" s="124">
        <f>7.94+7.94</f>
        <v>15.88</v>
      </c>
      <c r="AG88" s="124">
        <v>106073.04</v>
      </c>
      <c r="AH88" s="124">
        <v>55.65</v>
      </c>
      <c r="AI88" s="124">
        <v>54588.13</v>
      </c>
      <c r="AJ88" s="124">
        <v>106.84</v>
      </c>
      <c r="AK88" s="124">
        <f t="shared" si="6"/>
        <v>1011559.5800000001</v>
      </c>
      <c r="AL88" s="124">
        <f t="shared" si="5"/>
        <v>0</v>
      </c>
    </row>
    <row r="89" spans="1:38" s="92" customFormat="1" ht="24.9" customHeight="1" x14ac:dyDescent="0.3">
      <c r="A89" s="82">
        <v>88</v>
      </c>
      <c r="B89" s="92" t="s">
        <v>0</v>
      </c>
      <c r="C89" s="92" t="s">
        <v>0</v>
      </c>
      <c r="D89" s="109" t="s">
        <v>812</v>
      </c>
      <c r="E89" s="109" t="s">
        <v>889</v>
      </c>
      <c r="F89" s="109" t="s">
        <v>994</v>
      </c>
      <c r="G89" s="83">
        <v>458</v>
      </c>
      <c r="H89" s="84">
        <v>43586</v>
      </c>
      <c r="I89" s="84">
        <v>45900</v>
      </c>
      <c r="J89" s="116"/>
      <c r="K89" s="116"/>
      <c r="L89" s="94" t="s">
        <v>897</v>
      </c>
      <c r="M89" s="106" t="s">
        <v>820</v>
      </c>
      <c r="N89" s="92" t="s">
        <v>5</v>
      </c>
      <c r="O89" s="93">
        <v>45820</v>
      </c>
      <c r="P89" s="92" t="s">
        <v>2</v>
      </c>
      <c r="Q89" s="92" t="s">
        <v>680</v>
      </c>
      <c r="R89" s="108"/>
      <c r="S89" s="320">
        <v>13878</v>
      </c>
      <c r="T89" s="108"/>
      <c r="U89" s="92" t="s">
        <v>31</v>
      </c>
      <c r="V89" s="92" t="s">
        <v>27</v>
      </c>
      <c r="W89" s="109" t="s">
        <v>896</v>
      </c>
      <c r="X89" s="110"/>
      <c r="Y89" s="110"/>
      <c r="Z89" s="110"/>
      <c r="AA89" s="110"/>
      <c r="AB89" s="110"/>
      <c r="AC89" s="110">
        <v>13878</v>
      </c>
      <c r="AD89" s="110"/>
      <c r="AE89" s="110"/>
      <c r="AF89" s="110"/>
      <c r="AG89" s="110"/>
      <c r="AH89" s="110"/>
      <c r="AI89" s="110"/>
      <c r="AJ89" s="110"/>
      <c r="AK89" s="124">
        <f t="shared" si="6"/>
        <v>13878</v>
      </c>
      <c r="AL89" s="124">
        <f t="shared" si="5"/>
        <v>0</v>
      </c>
    </row>
    <row r="90" spans="1:38" s="92" customFormat="1" ht="24.9" customHeight="1" x14ac:dyDescent="0.3">
      <c r="A90" s="82">
        <v>89</v>
      </c>
      <c r="B90" s="82" t="s">
        <v>0</v>
      </c>
      <c r="C90" s="82" t="s">
        <v>0</v>
      </c>
      <c r="D90" s="102" t="s">
        <v>810</v>
      </c>
      <c r="E90" s="102" t="s">
        <v>888</v>
      </c>
      <c r="F90" s="231"/>
      <c r="G90" s="83">
        <v>86</v>
      </c>
      <c r="H90" s="84">
        <v>42614</v>
      </c>
      <c r="I90" s="84">
        <v>46568</v>
      </c>
      <c r="J90" s="85">
        <v>45536</v>
      </c>
      <c r="K90" s="85">
        <v>45777</v>
      </c>
      <c r="L90" s="94" t="s">
        <v>872</v>
      </c>
      <c r="M90" s="86" t="s">
        <v>434</v>
      </c>
      <c r="N90" s="92" t="s">
        <v>1</v>
      </c>
      <c r="O90" s="93">
        <v>45821</v>
      </c>
      <c r="P90" s="92" t="s">
        <v>2</v>
      </c>
      <c r="R90" s="108"/>
      <c r="S90" s="320">
        <v>399986.78</v>
      </c>
      <c r="T90" s="108">
        <v>399986.78</v>
      </c>
      <c r="U90" s="92" t="s">
        <v>31</v>
      </c>
      <c r="V90" s="92" t="s">
        <v>27</v>
      </c>
      <c r="W90" s="109"/>
      <c r="X90" s="124"/>
      <c r="Y90" s="124"/>
      <c r="Z90" s="124"/>
      <c r="AA90" s="124">
        <v>2721.09</v>
      </c>
      <c r="AB90" s="124"/>
      <c r="AC90" s="124">
        <v>334232.71999999997</v>
      </c>
      <c r="AD90" s="124">
        <v>51405.29</v>
      </c>
      <c r="AE90" s="124">
        <v>2590.9899999999998</v>
      </c>
      <c r="AF90" s="124"/>
      <c r="AG90" s="124"/>
      <c r="AH90" s="124"/>
      <c r="AI90" s="124">
        <v>9036.69</v>
      </c>
      <c r="AJ90" s="124"/>
      <c r="AK90" s="124">
        <f t="shared" si="6"/>
        <v>399986.77999999997</v>
      </c>
      <c r="AL90" s="124">
        <f t="shared" si="5"/>
        <v>0</v>
      </c>
    </row>
    <row r="91" spans="1:38" s="92" customFormat="1" ht="24.9" hidden="1" customHeight="1" x14ac:dyDescent="0.3">
      <c r="A91" s="82">
        <v>90</v>
      </c>
      <c r="B91" s="82" t="s">
        <v>830</v>
      </c>
      <c r="C91" s="82" t="s">
        <v>830</v>
      </c>
      <c r="D91" s="102" t="s">
        <v>831</v>
      </c>
      <c r="E91" s="102" t="s">
        <v>894</v>
      </c>
      <c r="F91" s="102"/>
      <c r="G91" s="115"/>
      <c r="H91" s="83" t="s">
        <v>893</v>
      </c>
      <c r="I91" s="84">
        <v>46538</v>
      </c>
      <c r="J91" s="116"/>
      <c r="K91" s="116"/>
      <c r="L91" s="116"/>
      <c r="M91" s="95" t="s">
        <v>839</v>
      </c>
      <c r="N91" s="92" t="s">
        <v>5</v>
      </c>
      <c r="O91" s="93">
        <v>45825</v>
      </c>
      <c r="P91" s="92" t="s">
        <v>2</v>
      </c>
      <c r="Q91" s="92" t="s">
        <v>168</v>
      </c>
      <c r="R91" s="108"/>
      <c r="S91" s="99">
        <v>1850</v>
      </c>
      <c r="T91" s="108">
        <v>1850</v>
      </c>
      <c r="U91" s="92" t="s">
        <v>35</v>
      </c>
      <c r="V91" s="92" t="s">
        <v>27</v>
      </c>
      <c r="W91" s="102" t="s">
        <v>950</v>
      </c>
      <c r="X91" s="124"/>
      <c r="Y91" s="124"/>
      <c r="Z91" s="124"/>
      <c r="AA91" s="124"/>
      <c r="AB91" s="124"/>
      <c r="AC91" s="124">
        <v>1850</v>
      </c>
      <c r="AD91" s="124"/>
      <c r="AE91" s="124"/>
      <c r="AF91" s="124"/>
      <c r="AG91" s="124"/>
      <c r="AH91" s="124"/>
      <c r="AI91" s="124"/>
      <c r="AJ91" s="124"/>
      <c r="AK91" s="124">
        <f t="shared" si="6"/>
        <v>1850</v>
      </c>
      <c r="AL91" s="124">
        <f t="shared" si="5"/>
        <v>0</v>
      </c>
    </row>
    <row r="92" spans="1:38" s="92" customFormat="1" ht="24.9" customHeight="1" x14ac:dyDescent="0.3">
      <c r="A92" s="82">
        <v>91</v>
      </c>
      <c r="B92" s="82" t="s">
        <v>0</v>
      </c>
      <c r="C92" s="82" t="s">
        <v>0</v>
      </c>
      <c r="D92" s="102" t="s">
        <v>811</v>
      </c>
      <c r="E92" s="102" t="s">
        <v>814</v>
      </c>
      <c r="F92" s="102" t="s">
        <v>987</v>
      </c>
      <c r="G92" s="83">
        <v>154</v>
      </c>
      <c r="H92" s="84">
        <v>43082</v>
      </c>
      <c r="I92" s="84">
        <v>46507</v>
      </c>
      <c r="J92" s="85">
        <v>45689</v>
      </c>
      <c r="K92" s="85">
        <v>45777</v>
      </c>
      <c r="L92" s="94" t="s">
        <v>295</v>
      </c>
      <c r="M92" s="86" t="s">
        <v>813</v>
      </c>
      <c r="N92" s="82" t="s">
        <v>1</v>
      </c>
      <c r="O92" s="87">
        <v>45828</v>
      </c>
      <c r="P92" s="82" t="s">
        <v>2</v>
      </c>
      <c r="Q92" s="82" t="s">
        <v>166</v>
      </c>
      <c r="R92" s="108"/>
      <c r="S92" s="320">
        <v>57858.65</v>
      </c>
      <c r="T92" s="108">
        <v>57858.65</v>
      </c>
      <c r="U92" s="92" t="s">
        <v>31</v>
      </c>
      <c r="V92" s="92" t="s">
        <v>27</v>
      </c>
      <c r="W92" s="109"/>
      <c r="X92" s="124"/>
      <c r="Y92" s="124"/>
      <c r="Z92" s="124"/>
      <c r="AA92" s="124"/>
      <c r="AB92" s="124"/>
      <c r="AC92" s="124">
        <v>38818.15</v>
      </c>
      <c r="AD92" s="124">
        <v>19040.5</v>
      </c>
      <c r="AE92" s="124"/>
      <c r="AF92" s="124"/>
      <c r="AG92" s="124"/>
      <c r="AH92" s="124"/>
      <c r="AI92" s="124"/>
      <c r="AJ92" s="124"/>
      <c r="AK92" s="124">
        <f t="shared" si="6"/>
        <v>57858.65</v>
      </c>
      <c r="AL92" s="124">
        <f t="shared" si="5"/>
        <v>0</v>
      </c>
    </row>
    <row r="93" spans="1:38" s="92" customFormat="1" ht="24.9" hidden="1" customHeight="1" x14ac:dyDescent="0.3">
      <c r="A93" s="82">
        <v>92</v>
      </c>
      <c r="B93" s="92" t="s">
        <v>117</v>
      </c>
      <c r="C93" s="109" t="s">
        <v>116</v>
      </c>
      <c r="D93" s="109" t="s">
        <v>840</v>
      </c>
      <c r="E93" s="109" t="s">
        <v>883</v>
      </c>
      <c r="F93" s="231" t="s">
        <v>1104</v>
      </c>
      <c r="G93" s="83">
        <v>561</v>
      </c>
      <c r="H93" s="84">
        <v>45231</v>
      </c>
      <c r="I93" s="84">
        <v>45961</v>
      </c>
      <c r="J93" s="85">
        <v>45597</v>
      </c>
      <c r="K93" s="85">
        <v>45688</v>
      </c>
      <c r="L93" s="83" t="s">
        <v>295</v>
      </c>
      <c r="M93" s="106" t="s">
        <v>784</v>
      </c>
      <c r="N93" s="92" t="s">
        <v>1</v>
      </c>
      <c r="O93" s="93">
        <v>45828</v>
      </c>
      <c r="P93" s="92" t="s">
        <v>135</v>
      </c>
      <c r="R93" s="108"/>
      <c r="S93" s="99">
        <v>4847.3999999999996</v>
      </c>
      <c r="T93" s="108">
        <v>4847.3999999999996</v>
      </c>
      <c r="U93" s="92" t="s">
        <v>31</v>
      </c>
      <c r="V93" s="92" t="s">
        <v>27</v>
      </c>
      <c r="W93" s="109" t="s">
        <v>891</v>
      </c>
      <c r="X93" s="110"/>
      <c r="Y93" s="110"/>
      <c r="Z93" s="110"/>
      <c r="AA93" s="110">
        <v>0.3</v>
      </c>
      <c r="AB93" s="110"/>
      <c r="AC93" s="110">
        <f>798.9+773.1</f>
        <v>1572</v>
      </c>
      <c r="AD93" s="110">
        <v>1043.4000000000001</v>
      </c>
      <c r="AE93" s="110">
        <v>60.6</v>
      </c>
      <c r="AF93" s="110"/>
      <c r="AG93" s="110">
        <v>1878.3</v>
      </c>
      <c r="AH93" s="110">
        <v>267.89999999999998</v>
      </c>
      <c r="AI93" s="110">
        <v>24.9</v>
      </c>
      <c r="AJ93" s="110"/>
      <c r="AK93" s="124">
        <f t="shared" si="6"/>
        <v>4847.3999999999987</v>
      </c>
      <c r="AL93" s="124">
        <f t="shared" si="5"/>
        <v>0</v>
      </c>
    </row>
    <row r="94" spans="1:38" s="92" customFormat="1" ht="24.9" hidden="1" customHeight="1" x14ac:dyDescent="0.3">
      <c r="A94" s="82">
        <v>93</v>
      </c>
      <c r="B94" s="82" t="s">
        <v>17</v>
      </c>
      <c r="C94" s="82" t="s">
        <v>17</v>
      </c>
      <c r="D94" s="102" t="s">
        <v>821</v>
      </c>
      <c r="E94" s="102" t="s">
        <v>878</v>
      </c>
      <c r="F94" s="231" t="s">
        <v>995</v>
      </c>
      <c r="G94" s="267">
        <v>12</v>
      </c>
      <c r="H94" s="84">
        <v>41852</v>
      </c>
      <c r="I94" s="84">
        <v>46599</v>
      </c>
      <c r="J94" s="85">
        <v>45682</v>
      </c>
      <c r="K94" s="85">
        <v>45772</v>
      </c>
      <c r="L94" s="85" t="s">
        <v>295</v>
      </c>
      <c r="M94" s="86" t="s">
        <v>305</v>
      </c>
      <c r="N94" s="92" t="s">
        <v>1</v>
      </c>
      <c r="O94" s="93">
        <v>45831</v>
      </c>
      <c r="P94" s="92" t="s">
        <v>2</v>
      </c>
      <c r="Q94" s="92" t="s">
        <v>168</v>
      </c>
      <c r="R94" s="108"/>
      <c r="S94" s="320">
        <v>70000</v>
      </c>
      <c r="T94" s="108">
        <v>70000</v>
      </c>
      <c r="U94" s="92" t="s">
        <v>31</v>
      </c>
      <c r="V94" s="92" t="s">
        <v>27</v>
      </c>
      <c r="W94" s="109"/>
      <c r="X94" s="124"/>
      <c r="Y94" s="124"/>
      <c r="Z94" s="124"/>
      <c r="AA94" s="124"/>
      <c r="AB94" s="124"/>
      <c r="AC94" s="124">
        <v>70000</v>
      </c>
      <c r="AD94" s="124"/>
      <c r="AE94" s="124"/>
      <c r="AF94" s="124"/>
      <c r="AG94" s="124"/>
      <c r="AH94" s="124"/>
      <c r="AI94" s="124"/>
      <c r="AJ94" s="124"/>
      <c r="AK94" s="124">
        <f t="shared" si="6"/>
        <v>70000</v>
      </c>
      <c r="AL94" s="124">
        <f t="shared" si="5"/>
        <v>0</v>
      </c>
    </row>
    <row r="95" spans="1:38" s="92" customFormat="1" ht="24.9" hidden="1" customHeight="1" x14ac:dyDescent="0.3">
      <c r="A95" s="82">
        <v>94</v>
      </c>
      <c r="B95" s="82" t="s">
        <v>237</v>
      </c>
      <c r="C95" s="82" t="s">
        <v>237</v>
      </c>
      <c r="D95" s="102" t="s">
        <v>816</v>
      </c>
      <c r="E95" s="102" t="s">
        <v>815</v>
      </c>
      <c r="F95" s="231" t="s">
        <v>975</v>
      </c>
      <c r="G95" s="83">
        <v>529</v>
      </c>
      <c r="H95" s="84">
        <v>44743</v>
      </c>
      <c r="I95" s="84">
        <v>46022</v>
      </c>
      <c r="J95" s="85">
        <v>45778</v>
      </c>
      <c r="K95" s="85">
        <v>45808</v>
      </c>
      <c r="L95" s="83" t="s">
        <v>337</v>
      </c>
      <c r="M95" s="86" t="s">
        <v>793</v>
      </c>
      <c r="N95" s="82" t="s">
        <v>1</v>
      </c>
      <c r="O95" s="87">
        <v>45834</v>
      </c>
      <c r="P95" s="82" t="s">
        <v>92</v>
      </c>
      <c r="R95" s="108"/>
      <c r="S95" s="99">
        <v>2985.34</v>
      </c>
      <c r="T95" s="108">
        <v>2985.34</v>
      </c>
      <c r="U95" s="92" t="s">
        <v>31</v>
      </c>
      <c r="V95" s="92" t="s">
        <v>27</v>
      </c>
      <c r="W95" s="109"/>
      <c r="X95" s="124">
        <v>14.2</v>
      </c>
      <c r="Y95" s="124">
        <v>39.15</v>
      </c>
      <c r="Z95" s="124">
        <v>33.979999999999997</v>
      </c>
      <c r="AA95" s="124">
        <v>168.04</v>
      </c>
      <c r="AB95" s="124">
        <v>40.4</v>
      </c>
      <c r="AC95" s="124">
        <v>1408.51</v>
      </c>
      <c r="AD95" s="124">
        <v>320.08999999999997</v>
      </c>
      <c r="AE95" s="124">
        <v>181.76</v>
      </c>
      <c r="AF95" s="124">
        <v>47.29</v>
      </c>
      <c r="AG95" s="124">
        <v>399.12</v>
      </c>
      <c r="AH95" s="124">
        <v>70.47</v>
      </c>
      <c r="AI95" s="124">
        <v>249.73</v>
      </c>
      <c r="AJ95" s="124">
        <v>12.6</v>
      </c>
      <c r="AK95" s="124">
        <f t="shared" si="6"/>
        <v>2985.3399999999997</v>
      </c>
      <c r="AL95" s="124">
        <f t="shared" si="5"/>
        <v>0</v>
      </c>
    </row>
    <row r="96" spans="1:38" s="92" customFormat="1" ht="24.9" hidden="1" customHeight="1" x14ac:dyDescent="0.3">
      <c r="A96" s="82">
        <v>95</v>
      </c>
      <c r="B96" s="82" t="s">
        <v>107</v>
      </c>
      <c r="C96" s="82" t="s">
        <v>107</v>
      </c>
      <c r="D96" s="102" t="s">
        <v>829</v>
      </c>
      <c r="E96" s="58" t="s">
        <v>787</v>
      </c>
      <c r="F96" s="231" t="s">
        <v>505</v>
      </c>
      <c r="G96" s="83">
        <v>113</v>
      </c>
      <c r="H96" s="84">
        <v>44699</v>
      </c>
      <c r="I96" s="84">
        <v>46524</v>
      </c>
      <c r="J96" s="85">
        <v>45658</v>
      </c>
      <c r="K96" s="85">
        <v>45747</v>
      </c>
      <c r="L96" s="94" t="s">
        <v>295</v>
      </c>
      <c r="M96" s="86" t="s">
        <v>502</v>
      </c>
      <c r="N96" s="92" t="s">
        <v>1</v>
      </c>
      <c r="O96" s="93">
        <v>45841</v>
      </c>
      <c r="P96" s="92" t="s">
        <v>275</v>
      </c>
      <c r="R96" s="108"/>
      <c r="S96" s="99">
        <v>69525</v>
      </c>
      <c r="T96" s="108">
        <v>69525</v>
      </c>
      <c r="U96" s="92" t="s">
        <v>35</v>
      </c>
      <c r="V96" s="92" t="s">
        <v>27</v>
      </c>
      <c r="W96" s="109"/>
      <c r="X96" s="124"/>
      <c r="Y96" s="124"/>
      <c r="Z96" s="124"/>
      <c r="AA96" s="124"/>
      <c r="AB96" s="124"/>
      <c r="AC96" s="108">
        <v>69525</v>
      </c>
      <c r="AD96" s="124"/>
      <c r="AE96" s="124"/>
      <c r="AF96" s="124"/>
      <c r="AG96" s="124"/>
      <c r="AH96" s="124"/>
      <c r="AI96" s="124"/>
      <c r="AJ96" s="124"/>
      <c r="AK96" s="124">
        <f t="shared" si="6"/>
        <v>69525</v>
      </c>
      <c r="AL96" s="124">
        <f t="shared" si="5"/>
        <v>0</v>
      </c>
    </row>
    <row r="97" spans="1:38" s="92" customFormat="1" ht="24.9" hidden="1" customHeight="1" x14ac:dyDescent="0.3">
      <c r="A97" s="82">
        <v>96</v>
      </c>
      <c r="B97" s="82" t="s">
        <v>17</v>
      </c>
      <c r="C97" s="82" t="s">
        <v>17</v>
      </c>
      <c r="D97" s="102" t="s">
        <v>828</v>
      </c>
      <c r="E97" s="102" t="s">
        <v>771</v>
      </c>
      <c r="F97" s="231" t="s">
        <v>311</v>
      </c>
      <c r="G97" s="83">
        <v>17</v>
      </c>
      <c r="H97" s="84">
        <v>43452</v>
      </c>
      <c r="I97" s="84">
        <v>46387</v>
      </c>
      <c r="J97" s="85">
        <v>45682</v>
      </c>
      <c r="K97" s="85">
        <v>45772</v>
      </c>
      <c r="L97" s="85" t="s">
        <v>295</v>
      </c>
      <c r="M97" s="86" t="s">
        <v>310</v>
      </c>
      <c r="N97" s="92" t="s">
        <v>1</v>
      </c>
      <c r="O97" s="93">
        <v>45845</v>
      </c>
      <c r="P97" s="92" t="s">
        <v>2</v>
      </c>
      <c r="Q97" s="82" t="s">
        <v>168</v>
      </c>
      <c r="R97" s="108"/>
      <c r="S97" s="320">
        <v>29475</v>
      </c>
      <c r="T97" s="108">
        <v>101379.66</v>
      </c>
      <c r="U97" s="92" t="s">
        <v>35</v>
      </c>
      <c r="V97" s="92" t="s">
        <v>27</v>
      </c>
      <c r="W97" s="109"/>
      <c r="X97" s="124">
        <v>675</v>
      </c>
      <c r="Y97" s="124"/>
      <c r="Z97" s="124"/>
      <c r="AA97" s="124"/>
      <c r="AB97" s="124"/>
      <c r="AC97" s="124">
        <v>24750</v>
      </c>
      <c r="AD97" s="124">
        <v>3825</v>
      </c>
      <c r="AE97" s="124"/>
      <c r="AF97" s="124"/>
      <c r="AG97" s="124"/>
      <c r="AH97" s="124"/>
      <c r="AI97" s="124">
        <v>225</v>
      </c>
      <c r="AJ97" s="124"/>
      <c r="AK97" s="124">
        <f t="shared" si="6"/>
        <v>29475</v>
      </c>
      <c r="AL97" s="124">
        <f t="shared" si="5"/>
        <v>0</v>
      </c>
    </row>
    <row r="98" spans="1:38" s="92" customFormat="1" ht="24.9" hidden="1" customHeight="1" x14ac:dyDescent="0.3">
      <c r="A98" s="82">
        <v>97</v>
      </c>
      <c r="B98" s="82" t="s">
        <v>17</v>
      </c>
      <c r="C98" s="82" t="s">
        <v>17</v>
      </c>
      <c r="D98" s="102" t="s">
        <v>827</v>
      </c>
      <c r="E98" s="102" t="s">
        <v>878</v>
      </c>
      <c r="F98" s="102" t="s">
        <v>1149</v>
      </c>
      <c r="G98" s="83">
        <v>12</v>
      </c>
      <c r="H98" s="84">
        <v>41852</v>
      </c>
      <c r="I98" s="84">
        <v>46599</v>
      </c>
      <c r="J98" s="85">
        <v>45682</v>
      </c>
      <c r="K98" s="85">
        <v>45772</v>
      </c>
      <c r="L98" s="85" t="s">
        <v>295</v>
      </c>
      <c r="M98" s="86" t="s">
        <v>310</v>
      </c>
      <c r="N98" s="92" t="s">
        <v>1</v>
      </c>
      <c r="O98" s="93">
        <v>45845</v>
      </c>
      <c r="P98" s="92" t="s">
        <v>2</v>
      </c>
      <c r="Q98" s="82" t="s">
        <v>168</v>
      </c>
      <c r="R98" s="108"/>
      <c r="S98" s="320">
        <v>71904.66</v>
      </c>
      <c r="T98" s="108">
        <v>101379.66</v>
      </c>
      <c r="U98" s="92" t="s">
        <v>35</v>
      </c>
      <c r="V98" s="92" t="s">
        <v>27</v>
      </c>
      <c r="W98" s="109"/>
      <c r="X98" s="124"/>
      <c r="Y98" s="124"/>
      <c r="Z98" s="124"/>
      <c r="AA98" s="124"/>
      <c r="AB98" s="124"/>
      <c r="AC98" s="124">
        <v>71904.66</v>
      </c>
      <c r="AD98" s="124"/>
      <c r="AE98" s="124"/>
      <c r="AF98" s="124"/>
      <c r="AG98" s="124"/>
      <c r="AH98" s="124"/>
      <c r="AI98" s="124"/>
      <c r="AJ98" s="124"/>
      <c r="AK98" s="124">
        <f t="shared" si="6"/>
        <v>71904.66</v>
      </c>
      <c r="AL98" s="124">
        <f t="shared" si="5"/>
        <v>0</v>
      </c>
    </row>
    <row r="99" spans="1:38" s="113" customFormat="1" ht="24.9" hidden="1" customHeight="1" x14ac:dyDescent="0.3">
      <c r="A99" s="82">
        <v>98</v>
      </c>
      <c r="B99" s="113" t="s">
        <v>107</v>
      </c>
      <c r="C99" s="113" t="s">
        <v>107</v>
      </c>
      <c r="D99" s="134" t="s">
        <v>832</v>
      </c>
      <c r="E99" s="131" t="s">
        <v>787</v>
      </c>
      <c r="F99" s="231" t="s">
        <v>503</v>
      </c>
      <c r="G99" s="83">
        <v>248</v>
      </c>
      <c r="H99" s="84">
        <v>44699</v>
      </c>
      <c r="I99" s="84">
        <v>46524</v>
      </c>
      <c r="J99" s="85">
        <v>45658</v>
      </c>
      <c r="K99" s="85">
        <v>45747</v>
      </c>
      <c r="L99" s="94" t="s">
        <v>295</v>
      </c>
      <c r="M99" s="112" t="s">
        <v>502</v>
      </c>
      <c r="N99" s="113" t="s">
        <v>1</v>
      </c>
      <c r="O99" s="114">
        <v>45847</v>
      </c>
      <c r="P99" s="113" t="s">
        <v>275</v>
      </c>
      <c r="R99" s="132"/>
      <c r="S99" s="99">
        <v>617933.09</v>
      </c>
      <c r="T99" s="132">
        <v>932563.52</v>
      </c>
      <c r="U99" s="113" t="s">
        <v>35</v>
      </c>
      <c r="V99" s="92" t="s">
        <v>27</v>
      </c>
      <c r="W99" s="109"/>
      <c r="X99" s="110">
        <v>9239.01</v>
      </c>
      <c r="Y99" s="110">
        <v>19495.169999999998</v>
      </c>
      <c r="Z99" s="110">
        <v>948.25</v>
      </c>
      <c r="AA99" s="110">
        <v>24485.58</v>
      </c>
      <c r="AB99" s="110">
        <v>12972.56</v>
      </c>
      <c r="AC99" s="110">
        <v>302739.03999999998</v>
      </c>
      <c r="AD99" s="110">
        <v>66537.570000000007</v>
      </c>
      <c r="AE99" s="110">
        <v>36155.410000000003</v>
      </c>
      <c r="AF99" s="110">
        <v>9836.99</v>
      </c>
      <c r="AG99" s="110">
        <v>77838.399999999994</v>
      </c>
      <c r="AH99" s="110">
        <v>7646.3</v>
      </c>
      <c r="AI99" s="110">
        <v>44626.52</v>
      </c>
      <c r="AJ99" s="110">
        <v>5412.29</v>
      </c>
      <c r="AK99" s="110">
        <f t="shared" si="6"/>
        <v>617933.09000000008</v>
      </c>
      <c r="AL99" s="110">
        <f t="shared" si="5"/>
        <v>0</v>
      </c>
    </row>
    <row r="100" spans="1:38" s="92" customFormat="1" ht="24.9" hidden="1" customHeight="1" x14ac:dyDescent="0.3">
      <c r="A100" s="82">
        <v>99</v>
      </c>
      <c r="B100" s="82" t="s">
        <v>107</v>
      </c>
      <c r="C100" s="82" t="s">
        <v>107</v>
      </c>
      <c r="D100" s="102" t="s">
        <v>833</v>
      </c>
      <c r="E100" s="58" t="s">
        <v>787</v>
      </c>
      <c r="F100" s="231" t="s">
        <v>503</v>
      </c>
      <c r="G100" s="83">
        <v>109</v>
      </c>
      <c r="H100" s="84">
        <v>44699</v>
      </c>
      <c r="I100" s="84">
        <v>46524</v>
      </c>
      <c r="J100" s="85">
        <v>45658</v>
      </c>
      <c r="K100" s="85">
        <v>45747</v>
      </c>
      <c r="L100" s="94" t="s">
        <v>295</v>
      </c>
      <c r="M100" s="86" t="s">
        <v>502</v>
      </c>
      <c r="N100" s="92" t="s">
        <v>1</v>
      </c>
      <c r="O100" s="93">
        <v>45847</v>
      </c>
      <c r="P100" s="92" t="s">
        <v>275</v>
      </c>
      <c r="R100" s="108"/>
      <c r="S100" s="99">
        <v>117069.72</v>
      </c>
      <c r="T100" s="108">
        <v>932563.52</v>
      </c>
      <c r="U100" s="92" t="s">
        <v>35</v>
      </c>
      <c r="V100" s="92" t="s">
        <v>27</v>
      </c>
      <c r="W100" s="109"/>
      <c r="X100" s="110">
        <v>630.01</v>
      </c>
      <c r="Y100" s="110">
        <v>936.21</v>
      </c>
      <c r="Z100" s="110"/>
      <c r="AA100" s="110">
        <v>1245.82</v>
      </c>
      <c r="AB100" s="110">
        <v>70.81</v>
      </c>
      <c r="AC100" s="110">
        <v>69032.77</v>
      </c>
      <c r="AD100" s="110">
        <v>7830.38</v>
      </c>
      <c r="AE100" s="110">
        <v>5314.22</v>
      </c>
      <c r="AF100" s="110">
        <v>2854.44</v>
      </c>
      <c r="AG100" s="110">
        <v>13834.69</v>
      </c>
      <c r="AH100" s="110">
        <v>3002.2</v>
      </c>
      <c r="AI100" s="110">
        <v>12318.17</v>
      </c>
      <c r="AJ100" s="110"/>
      <c r="AK100" s="110">
        <f t="shared" si="6"/>
        <v>117069.72000000002</v>
      </c>
      <c r="AL100" s="110">
        <f t="shared" si="5"/>
        <v>0</v>
      </c>
    </row>
    <row r="101" spans="1:38" s="92" customFormat="1" ht="24.9" hidden="1" customHeight="1" x14ac:dyDescent="0.3">
      <c r="A101" s="82">
        <v>100</v>
      </c>
      <c r="B101" s="82" t="s">
        <v>107</v>
      </c>
      <c r="C101" s="82" t="s">
        <v>107</v>
      </c>
      <c r="D101" s="102" t="s">
        <v>834</v>
      </c>
      <c r="E101" s="58" t="s">
        <v>787</v>
      </c>
      <c r="F101" s="231" t="s">
        <v>503</v>
      </c>
      <c r="G101" s="83">
        <v>193</v>
      </c>
      <c r="H101" s="84">
        <v>44699</v>
      </c>
      <c r="I101" s="84">
        <v>46524</v>
      </c>
      <c r="J101" s="85">
        <v>45658</v>
      </c>
      <c r="K101" s="85">
        <v>45747</v>
      </c>
      <c r="L101" s="94" t="s">
        <v>295</v>
      </c>
      <c r="M101" s="86" t="s">
        <v>502</v>
      </c>
      <c r="N101" s="92" t="s">
        <v>1</v>
      </c>
      <c r="O101" s="93">
        <v>45847</v>
      </c>
      <c r="P101" s="92" t="s">
        <v>275</v>
      </c>
      <c r="R101" s="108"/>
      <c r="S101" s="99">
        <v>95047.66</v>
      </c>
      <c r="T101" s="108">
        <v>932563.52</v>
      </c>
      <c r="U101" s="92" t="s">
        <v>35</v>
      </c>
      <c r="V101" s="92" t="s">
        <v>27</v>
      </c>
      <c r="W101" s="109"/>
      <c r="X101" s="110">
        <v>-5384.33</v>
      </c>
      <c r="Y101" s="110">
        <v>3914.85</v>
      </c>
      <c r="Z101" s="110"/>
      <c r="AA101" s="110">
        <v>2140.6799999999998</v>
      </c>
      <c r="AB101" s="110">
        <f>-12.02+2131.7</f>
        <v>2119.6799999999998</v>
      </c>
      <c r="AC101" s="110">
        <f>59341.92+3543.45</f>
        <v>62885.369999999995</v>
      </c>
      <c r="AD101" s="110">
        <f>13594.27+60.35</f>
        <v>13654.62</v>
      </c>
      <c r="AE101" s="110">
        <v>3543.46</v>
      </c>
      <c r="AF101" s="110">
        <v>276.07</v>
      </c>
      <c r="AG101" s="110">
        <v>11078.77</v>
      </c>
      <c r="AH101" s="110">
        <v>369.85</v>
      </c>
      <c r="AI101" s="110">
        <v>448.64</v>
      </c>
      <c r="AJ101" s="110"/>
      <c r="AK101" s="110">
        <f t="shared" si="6"/>
        <v>95047.660000000018</v>
      </c>
      <c r="AL101" s="110">
        <f t="shared" si="5"/>
        <v>0</v>
      </c>
    </row>
    <row r="102" spans="1:38" s="92" customFormat="1" ht="24.9" hidden="1" customHeight="1" x14ac:dyDescent="0.3">
      <c r="A102" s="82">
        <v>101</v>
      </c>
      <c r="B102" s="82" t="s">
        <v>107</v>
      </c>
      <c r="C102" s="82" t="s">
        <v>107</v>
      </c>
      <c r="D102" s="102" t="s">
        <v>835</v>
      </c>
      <c r="E102" s="58" t="s">
        <v>788</v>
      </c>
      <c r="F102" s="231" t="s">
        <v>514</v>
      </c>
      <c r="G102" s="83">
        <v>116</v>
      </c>
      <c r="H102" s="84">
        <v>44508</v>
      </c>
      <c r="I102" s="84">
        <v>46022</v>
      </c>
      <c r="J102" s="85">
        <v>45658</v>
      </c>
      <c r="K102" s="85">
        <v>45747</v>
      </c>
      <c r="L102" s="94" t="s">
        <v>295</v>
      </c>
      <c r="M102" s="86" t="s">
        <v>513</v>
      </c>
      <c r="N102" s="92" t="s">
        <v>1</v>
      </c>
      <c r="O102" s="93">
        <v>45847</v>
      </c>
      <c r="P102" s="92" t="s">
        <v>275</v>
      </c>
      <c r="R102" s="108"/>
      <c r="S102" s="99">
        <v>15850.69</v>
      </c>
      <c r="T102" s="108">
        <v>932563.52</v>
      </c>
      <c r="U102" s="92" t="s">
        <v>35</v>
      </c>
      <c r="V102" s="92" t="s">
        <v>27</v>
      </c>
      <c r="W102" s="109"/>
      <c r="X102" s="110">
        <f>7.04+263.99</f>
        <v>271.03000000000003</v>
      </c>
      <c r="Y102" s="110">
        <f>1.82</f>
        <v>1.82</v>
      </c>
      <c r="Z102" s="110">
        <f>4.77+3.18</f>
        <v>7.9499999999999993</v>
      </c>
      <c r="AA102" s="110">
        <f>1311.75+819.09</f>
        <v>2130.84</v>
      </c>
      <c r="AB102" s="110">
        <f>1.59+9.12</f>
        <v>10.709999999999999</v>
      </c>
      <c r="AC102" s="110">
        <f>191.82+3688.87+11.13</f>
        <v>3891.82</v>
      </c>
      <c r="AD102" s="110">
        <f>148.55+2312.76</f>
        <v>2461.3100000000004</v>
      </c>
      <c r="AE102" s="110">
        <v>1073.25</v>
      </c>
      <c r="AF102" s="110">
        <f>1.6+12.72</f>
        <v>14.32</v>
      </c>
      <c r="AG102" s="110">
        <f>127.43+3825.01+9.54</f>
        <v>3961.98</v>
      </c>
      <c r="AH102" s="110">
        <v>23.85</v>
      </c>
      <c r="AI102" s="110">
        <v>2001.81</v>
      </c>
      <c r="AJ102" s="110"/>
      <c r="AK102" s="110">
        <f t="shared" si="6"/>
        <v>15850.689999999999</v>
      </c>
      <c r="AL102" s="110">
        <f t="shared" si="5"/>
        <v>0</v>
      </c>
    </row>
    <row r="103" spans="1:38" s="92" customFormat="1" ht="24.9" hidden="1" customHeight="1" x14ac:dyDescent="0.3">
      <c r="A103" s="82">
        <v>102</v>
      </c>
      <c r="B103" s="82" t="s">
        <v>107</v>
      </c>
      <c r="C103" s="82" t="s">
        <v>107</v>
      </c>
      <c r="D103" s="102" t="s">
        <v>836</v>
      </c>
      <c r="E103" s="58" t="s">
        <v>789</v>
      </c>
      <c r="F103" s="231" t="s">
        <v>511</v>
      </c>
      <c r="G103" s="83">
        <v>115</v>
      </c>
      <c r="H103" s="84">
        <v>45002</v>
      </c>
      <c r="I103" s="84">
        <v>45930</v>
      </c>
      <c r="J103" s="85">
        <v>45658</v>
      </c>
      <c r="K103" s="85">
        <v>45747</v>
      </c>
      <c r="L103" s="94" t="s">
        <v>295</v>
      </c>
      <c r="M103" s="86" t="s">
        <v>510</v>
      </c>
      <c r="N103" s="92" t="s">
        <v>1</v>
      </c>
      <c r="O103" s="93">
        <v>45847</v>
      </c>
      <c r="P103" s="92" t="s">
        <v>275</v>
      </c>
      <c r="R103" s="108"/>
      <c r="S103" s="99">
        <v>28060.39</v>
      </c>
      <c r="T103" s="108">
        <v>932563.52</v>
      </c>
      <c r="U103" s="92" t="s">
        <v>35</v>
      </c>
      <c r="V103" s="92" t="s">
        <v>27</v>
      </c>
      <c r="W103" s="109"/>
      <c r="X103" s="110">
        <f>853.49</f>
        <v>853.49</v>
      </c>
      <c r="Y103" s="110">
        <f>53.39+133.48</f>
        <v>186.87</v>
      </c>
      <c r="Z103" s="110">
        <v>26.7</v>
      </c>
      <c r="AA103" s="110">
        <f>556.62+973.82</f>
        <v>1530.44</v>
      </c>
      <c r="AB103" s="110">
        <f>26.7+53.4+53.39</f>
        <v>133.49</v>
      </c>
      <c r="AC103" s="110">
        <f>26.7+507.24+11430.71</f>
        <v>11964.65</v>
      </c>
      <c r="AD103" s="110">
        <f>84.97+3246.75</f>
        <v>3331.72</v>
      </c>
      <c r="AE103" s="110">
        <f>560.63+2485.32</f>
        <v>3045.9500000000003</v>
      </c>
      <c r="AF103" s="110">
        <f>787.69+100.4</f>
        <v>888.09</v>
      </c>
      <c r="AG103" s="110">
        <v>3055.69</v>
      </c>
      <c r="AH103" s="110">
        <v>106.79</v>
      </c>
      <c r="AI103" s="110">
        <v>2936.51</v>
      </c>
      <c r="AJ103" s="110"/>
      <c r="AK103" s="110">
        <f t="shared" si="6"/>
        <v>28060.39</v>
      </c>
      <c r="AL103" s="110">
        <f t="shared" si="5"/>
        <v>0</v>
      </c>
    </row>
    <row r="104" spans="1:38" s="92" customFormat="1" ht="24.9" hidden="1" customHeight="1" x14ac:dyDescent="0.3">
      <c r="A104" s="82">
        <v>103</v>
      </c>
      <c r="B104" s="82" t="s">
        <v>107</v>
      </c>
      <c r="C104" s="82" t="s">
        <v>107</v>
      </c>
      <c r="D104" s="102" t="s">
        <v>837</v>
      </c>
      <c r="E104" s="58" t="s">
        <v>882</v>
      </c>
      <c r="F104" s="231" t="s">
        <v>508</v>
      </c>
      <c r="G104" s="83">
        <v>114</v>
      </c>
      <c r="H104" s="84">
        <v>44924</v>
      </c>
      <c r="I104" s="84">
        <v>46022</v>
      </c>
      <c r="J104" s="85">
        <v>45658</v>
      </c>
      <c r="K104" s="85">
        <v>45747</v>
      </c>
      <c r="L104" s="94" t="s">
        <v>295</v>
      </c>
      <c r="M104" s="121" t="s">
        <v>507</v>
      </c>
      <c r="N104" s="92" t="s">
        <v>1</v>
      </c>
      <c r="O104" s="93">
        <v>45847</v>
      </c>
      <c r="P104" s="92" t="s">
        <v>275</v>
      </c>
      <c r="R104" s="108"/>
      <c r="S104" s="99">
        <v>58601.97</v>
      </c>
      <c r="T104" s="108">
        <v>932563.52</v>
      </c>
      <c r="U104" s="92" t="s">
        <v>35</v>
      </c>
      <c r="V104" s="92" t="s">
        <v>27</v>
      </c>
      <c r="W104" s="109"/>
      <c r="X104" s="110">
        <v>1351.41</v>
      </c>
      <c r="Y104" s="110">
        <v>961.65</v>
      </c>
      <c r="Z104" s="110">
        <v>232.02</v>
      </c>
      <c r="AA104" s="110">
        <v>3100.77</v>
      </c>
      <c r="AB104" s="110">
        <v>1349.14</v>
      </c>
      <c r="AC104" s="110">
        <v>25202.58</v>
      </c>
      <c r="AD104" s="110">
        <v>6750.56</v>
      </c>
      <c r="AE104" s="110">
        <v>3467.05</v>
      </c>
      <c r="AF104" s="110">
        <v>1123.8399999999999</v>
      </c>
      <c r="AG104" s="110">
        <v>6922.23</v>
      </c>
      <c r="AH104" s="110">
        <v>583.29999999999995</v>
      </c>
      <c r="AI104" s="110">
        <v>7264.15</v>
      </c>
      <c r="AJ104" s="110">
        <v>293.27</v>
      </c>
      <c r="AK104" s="110">
        <f t="shared" si="6"/>
        <v>58601.97</v>
      </c>
      <c r="AL104" s="110">
        <f t="shared" si="5"/>
        <v>0</v>
      </c>
    </row>
    <row r="105" spans="1:38" s="92" customFormat="1" ht="24.9" customHeight="1" x14ac:dyDescent="0.3">
      <c r="A105" s="82">
        <v>104</v>
      </c>
      <c r="B105" s="82" t="s">
        <v>0</v>
      </c>
      <c r="C105" s="82" t="s">
        <v>0</v>
      </c>
      <c r="D105" s="102" t="s">
        <v>838</v>
      </c>
      <c r="E105" s="102" t="s">
        <v>863</v>
      </c>
      <c r="F105" s="102" t="s">
        <v>983</v>
      </c>
      <c r="G105" s="83">
        <v>133</v>
      </c>
      <c r="H105" s="84">
        <v>45322</v>
      </c>
      <c r="I105" s="84">
        <v>45961</v>
      </c>
      <c r="J105" s="85">
        <v>45717</v>
      </c>
      <c r="K105" s="85">
        <v>45808</v>
      </c>
      <c r="L105" s="83" t="s">
        <v>295</v>
      </c>
      <c r="M105" s="91" t="s">
        <v>286</v>
      </c>
      <c r="N105" s="92" t="s">
        <v>1</v>
      </c>
      <c r="O105" s="93">
        <v>45849</v>
      </c>
      <c r="P105" s="82" t="s">
        <v>2</v>
      </c>
      <c r="Q105" s="82" t="s">
        <v>166</v>
      </c>
      <c r="R105" s="108"/>
      <c r="S105" s="320">
        <v>560000</v>
      </c>
      <c r="T105" s="108">
        <v>560000</v>
      </c>
      <c r="U105" s="92" t="s">
        <v>35</v>
      </c>
      <c r="V105" s="92" t="s">
        <v>27</v>
      </c>
      <c r="W105" s="109"/>
      <c r="X105" s="110"/>
      <c r="Y105" s="110"/>
      <c r="Z105" s="110"/>
      <c r="AA105" s="110"/>
      <c r="AB105" s="110"/>
      <c r="AC105" s="110">
        <v>560000</v>
      </c>
      <c r="AD105" s="110"/>
      <c r="AE105" s="110"/>
      <c r="AF105" s="110"/>
      <c r="AG105" s="110"/>
      <c r="AH105" s="110"/>
      <c r="AI105" s="110"/>
      <c r="AJ105" s="110"/>
      <c r="AK105" s="110">
        <f t="shared" si="6"/>
        <v>560000</v>
      </c>
      <c r="AL105" s="110">
        <f t="shared" si="5"/>
        <v>0</v>
      </c>
    </row>
    <row r="106" spans="1:38" s="92" customFormat="1" ht="24.9" hidden="1" customHeight="1" x14ac:dyDescent="0.3">
      <c r="A106" s="82">
        <v>105</v>
      </c>
      <c r="B106" s="82" t="s">
        <v>17</v>
      </c>
      <c r="C106" s="82" t="s">
        <v>17</v>
      </c>
      <c r="D106" s="102" t="s">
        <v>842</v>
      </c>
      <c r="E106" s="102"/>
      <c r="F106" s="102" t="s">
        <v>973</v>
      </c>
      <c r="G106" s="115"/>
      <c r="H106" s="115"/>
      <c r="I106" s="115"/>
      <c r="J106" s="85">
        <v>45682</v>
      </c>
      <c r="K106" s="85">
        <v>45772</v>
      </c>
      <c r="L106" s="85" t="s">
        <v>295</v>
      </c>
      <c r="M106" s="58" t="s">
        <v>794</v>
      </c>
      <c r="N106" s="92" t="s">
        <v>1</v>
      </c>
      <c r="O106" s="93">
        <v>45852</v>
      </c>
      <c r="P106" s="92" t="s">
        <v>2</v>
      </c>
      <c r="Q106" s="92" t="s">
        <v>168</v>
      </c>
      <c r="R106" s="108"/>
      <c r="S106" s="320">
        <v>20902.5</v>
      </c>
      <c r="T106" s="108">
        <v>20902.5</v>
      </c>
      <c r="U106" s="92" t="s">
        <v>35</v>
      </c>
      <c r="V106" s="92" t="s">
        <v>27</v>
      </c>
      <c r="W106" s="109"/>
      <c r="X106" s="110"/>
      <c r="Y106" s="110"/>
      <c r="Z106" s="110"/>
      <c r="AA106" s="110"/>
      <c r="AB106" s="110"/>
      <c r="AC106" s="110">
        <v>20902.5</v>
      </c>
      <c r="AD106" s="110"/>
      <c r="AE106" s="110"/>
      <c r="AF106" s="110"/>
      <c r="AG106" s="110"/>
      <c r="AH106" s="110"/>
      <c r="AI106" s="110"/>
      <c r="AJ106" s="110"/>
      <c r="AK106" s="110">
        <f t="shared" si="6"/>
        <v>20902.5</v>
      </c>
      <c r="AL106" s="110">
        <f t="shared" si="5"/>
        <v>0</v>
      </c>
    </row>
    <row r="107" spans="1:38" s="92" customFormat="1" ht="24.9" hidden="1" customHeight="1" x14ac:dyDescent="0.3">
      <c r="A107" s="82">
        <v>106</v>
      </c>
      <c r="B107" s="82" t="s">
        <v>17</v>
      </c>
      <c r="C107" s="82" t="s">
        <v>17</v>
      </c>
      <c r="D107" s="102" t="s">
        <v>841</v>
      </c>
      <c r="E107" s="102" t="s">
        <v>878</v>
      </c>
      <c r="F107" s="231" t="s">
        <v>306</v>
      </c>
      <c r="G107" s="83">
        <v>12</v>
      </c>
      <c r="H107" s="84">
        <v>41852</v>
      </c>
      <c r="I107" s="84">
        <v>46599</v>
      </c>
      <c r="J107" s="85">
        <v>45682</v>
      </c>
      <c r="K107" s="85">
        <v>45772</v>
      </c>
      <c r="L107" s="85" t="s">
        <v>295</v>
      </c>
      <c r="M107" s="86" t="s">
        <v>305</v>
      </c>
      <c r="N107" s="92" t="s">
        <v>1</v>
      </c>
      <c r="O107" s="93">
        <v>45852</v>
      </c>
      <c r="P107" s="92" t="s">
        <v>2</v>
      </c>
      <c r="Q107" s="92" t="s">
        <v>168</v>
      </c>
      <c r="R107" s="108"/>
      <c r="S107" s="320">
        <v>71750</v>
      </c>
      <c r="T107" s="108">
        <v>71750</v>
      </c>
      <c r="U107" s="92" t="s">
        <v>35</v>
      </c>
      <c r="V107" s="92" t="s">
        <v>27</v>
      </c>
      <c r="W107" s="109"/>
      <c r="X107" s="110"/>
      <c r="Y107" s="110"/>
      <c r="Z107" s="110"/>
      <c r="AA107" s="110"/>
      <c r="AB107" s="110"/>
      <c r="AC107" s="110">
        <v>71750</v>
      </c>
      <c r="AD107" s="110"/>
      <c r="AE107" s="110"/>
      <c r="AF107" s="110"/>
      <c r="AG107" s="110"/>
      <c r="AH107" s="110"/>
      <c r="AI107" s="110"/>
      <c r="AJ107" s="110"/>
      <c r="AK107" s="110">
        <f t="shared" si="6"/>
        <v>71750</v>
      </c>
      <c r="AL107" s="110">
        <f t="shared" si="5"/>
        <v>0</v>
      </c>
    </row>
    <row r="108" spans="1:38" s="92" customFormat="1" ht="24.9" customHeight="1" x14ac:dyDescent="0.3">
      <c r="A108" s="82">
        <v>107</v>
      </c>
      <c r="B108" s="82" t="s">
        <v>0</v>
      </c>
      <c r="C108" s="82" t="s">
        <v>0</v>
      </c>
      <c r="D108" s="102" t="s">
        <v>845</v>
      </c>
      <c r="E108" s="102" t="s">
        <v>863</v>
      </c>
      <c r="F108" s="102" t="s">
        <v>983</v>
      </c>
      <c r="G108" s="83">
        <v>133</v>
      </c>
      <c r="H108" s="84">
        <v>45322</v>
      </c>
      <c r="I108" s="84">
        <v>45961</v>
      </c>
      <c r="J108" s="85">
        <v>45748</v>
      </c>
      <c r="K108" s="85">
        <v>45838</v>
      </c>
      <c r="L108" s="83" t="s">
        <v>295</v>
      </c>
      <c r="M108" s="91" t="s">
        <v>286</v>
      </c>
      <c r="N108" s="92" t="s">
        <v>1</v>
      </c>
      <c r="O108" s="87">
        <v>45856</v>
      </c>
      <c r="P108" s="82" t="s">
        <v>2</v>
      </c>
      <c r="Q108" s="82" t="s">
        <v>166</v>
      </c>
      <c r="R108" s="82"/>
      <c r="S108" s="320">
        <v>412000</v>
      </c>
      <c r="T108" s="108">
        <v>412000</v>
      </c>
      <c r="U108" s="92" t="s">
        <v>35</v>
      </c>
      <c r="V108" s="92" t="s">
        <v>27</v>
      </c>
      <c r="W108" s="109" t="s">
        <v>849</v>
      </c>
      <c r="X108" s="110"/>
      <c r="Y108" s="110"/>
      <c r="Z108" s="110"/>
      <c r="AA108" s="110"/>
      <c r="AB108" s="110"/>
      <c r="AC108" s="110"/>
      <c r="AD108" s="110">
        <v>412000</v>
      </c>
      <c r="AE108" s="110"/>
      <c r="AF108" s="110"/>
      <c r="AG108" s="110"/>
      <c r="AH108" s="110"/>
      <c r="AI108" s="110"/>
      <c r="AJ108" s="110"/>
      <c r="AK108" s="110">
        <f t="shared" si="6"/>
        <v>412000</v>
      </c>
      <c r="AL108" s="110">
        <f t="shared" si="5"/>
        <v>0</v>
      </c>
    </row>
    <row r="109" spans="1:38" s="92" customFormat="1" ht="24.9" hidden="1" customHeight="1" x14ac:dyDescent="0.3">
      <c r="A109" s="82">
        <v>108</v>
      </c>
      <c r="B109" s="82" t="s">
        <v>17</v>
      </c>
      <c r="C109" s="82" t="s">
        <v>17</v>
      </c>
      <c r="D109" s="58" t="s">
        <v>846</v>
      </c>
      <c r="E109" s="58" t="s">
        <v>862</v>
      </c>
      <c r="F109" s="58" t="s">
        <v>980</v>
      </c>
      <c r="G109" s="83">
        <v>118</v>
      </c>
      <c r="H109" s="84">
        <v>42005</v>
      </c>
      <c r="I109" s="84">
        <v>46752</v>
      </c>
      <c r="J109" s="85">
        <v>45460</v>
      </c>
      <c r="K109" s="85">
        <v>45824</v>
      </c>
      <c r="L109" s="94" t="s">
        <v>289</v>
      </c>
      <c r="M109" s="86" t="s">
        <v>519</v>
      </c>
      <c r="N109" s="92" t="s">
        <v>1</v>
      </c>
      <c r="O109" s="87">
        <v>45856</v>
      </c>
      <c r="P109" s="82" t="s">
        <v>135</v>
      </c>
      <c r="Q109" s="82"/>
      <c r="R109" s="82"/>
      <c r="S109" s="276"/>
      <c r="T109" s="276">
        <v>776947.47</v>
      </c>
      <c r="U109" s="92" t="s">
        <v>35</v>
      </c>
      <c r="V109" s="92" t="s">
        <v>27</v>
      </c>
      <c r="W109" s="61" t="s">
        <v>941</v>
      </c>
      <c r="X109" s="110">
        <v>55.01</v>
      </c>
      <c r="Y109" s="110">
        <v>5800.829999999999</v>
      </c>
      <c r="Z109" s="110"/>
      <c r="AA109" s="110"/>
      <c r="AB109" s="110"/>
      <c r="AC109" s="110">
        <v>258662.47</v>
      </c>
      <c r="AD109" s="110">
        <v>31167.309999999998</v>
      </c>
      <c r="AE109" s="110"/>
      <c r="AF109" s="110"/>
      <c r="AG109" s="110">
        <v>240168.81</v>
      </c>
      <c r="AH109" s="110"/>
      <c r="AI109" s="110">
        <v>241093.04</v>
      </c>
      <c r="AJ109" s="110"/>
      <c r="AK109" s="110">
        <f t="shared" si="6"/>
        <v>776947.47</v>
      </c>
      <c r="AL109" s="110">
        <f t="shared" si="5"/>
        <v>-776947.47</v>
      </c>
    </row>
    <row r="110" spans="1:38" s="92" customFormat="1" ht="24.9" hidden="1" customHeight="1" x14ac:dyDescent="0.3">
      <c r="A110" s="82">
        <v>109</v>
      </c>
      <c r="B110" s="92" t="s">
        <v>248</v>
      </c>
      <c r="C110" s="82" t="s">
        <v>114</v>
      </c>
      <c r="D110" s="102" t="s">
        <v>847</v>
      </c>
      <c r="E110" s="58" t="s">
        <v>786</v>
      </c>
      <c r="F110" s="231" t="s">
        <v>329</v>
      </c>
      <c r="G110" s="83">
        <v>32</v>
      </c>
      <c r="H110" s="84">
        <v>43067</v>
      </c>
      <c r="I110" s="84">
        <v>45989</v>
      </c>
      <c r="J110" s="85">
        <v>45748</v>
      </c>
      <c r="K110" s="85">
        <v>45838</v>
      </c>
      <c r="L110" s="94" t="s">
        <v>295</v>
      </c>
      <c r="M110" s="86" t="s">
        <v>327</v>
      </c>
      <c r="N110" s="92" t="s">
        <v>1</v>
      </c>
      <c r="O110" s="87">
        <v>45862</v>
      </c>
      <c r="P110" s="92" t="s">
        <v>92</v>
      </c>
      <c r="R110" s="108"/>
      <c r="S110" s="99">
        <v>196084.75</v>
      </c>
      <c r="T110" s="108">
        <v>196084.75</v>
      </c>
      <c r="U110" s="92" t="s">
        <v>35</v>
      </c>
      <c r="V110" s="92" t="s">
        <v>27</v>
      </c>
      <c r="W110" s="109" t="s">
        <v>849</v>
      </c>
      <c r="X110" s="110">
        <v>17536.939999999999</v>
      </c>
      <c r="Y110" s="110">
        <v>9012.2199999999993</v>
      </c>
      <c r="Z110" s="110"/>
      <c r="AA110" s="110">
        <v>5491.14</v>
      </c>
      <c r="AB110" s="110"/>
      <c r="AC110" s="110">
        <v>87335.73000000001</v>
      </c>
      <c r="AD110" s="110">
        <v>28117.202000000001</v>
      </c>
      <c r="AE110" s="110">
        <v>6161.84</v>
      </c>
      <c r="AF110" s="110"/>
      <c r="AG110" s="110">
        <v>42204.61</v>
      </c>
      <c r="AH110" s="110">
        <v>225.07</v>
      </c>
      <c r="AI110" s="110"/>
      <c r="AJ110" s="110"/>
      <c r="AK110" s="110">
        <f t="shared" si="6"/>
        <v>196084.75199999998</v>
      </c>
      <c r="AL110" s="110">
        <f t="shared" si="5"/>
        <v>-1.9999999785795808E-3</v>
      </c>
    </row>
    <row r="111" spans="1:38" s="82" customFormat="1" ht="24.9" hidden="1" customHeight="1" x14ac:dyDescent="0.3">
      <c r="A111" s="82">
        <v>110</v>
      </c>
      <c r="B111" s="82" t="s">
        <v>103</v>
      </c>
      <c r="C111" s="82" t="s">
        <v>103</v>
      </c>
      <c r="D111" s="102" t="s">
        <v>848</v>
      </c>
      <c r="E111" s="102" t="s">
        <v>936</v>
      </c>
      <c r="F111" s="231" t="s">
        <v>974</v>
      </c>
      <c r="G111" s="83">
        <v>41</v>
      </c>
      <c r="H111" s="84">
        <v>44901</v>
      </c>
      <c r="I111" s="84">
        <v>46721</v>
      </c>
      <c r="J111" s="85">
        <v>45748</v>
      </c>
      <c r="K111" s="85">
        <v>45838</v>
      </c>
      <c r="L111" s="94" t="s">
        <v>295</v>
      </c>
      <c r="M111" s="86" t="s">
        <v>353</v>
      </c>
      <c r="N111" s="82" t="s">
        <v>1</v>
      </c>
      <c r="O111" s="87">
        <v>45863</v>
      </c>
      <c r="P111" s="82" t="s">
        <v>275</v>
      </c>
      <c r="S111" s="99">
        <v>10064.379999999999</v>
      </c>
      <c r="T111" s="122">
        <v>10064.379999999999</v>
      </c>
      <c r="U111" s="82" t="s">
        <v>38</v>
      </c>
      <c r="V111" s="92"/>
      <c r="W111" s="109"/>
      <c r="X111" s="110"/>
      <c r="Y111" s="110">
        <f>8.53+31.95</f>
        <v>40.479999999999997</v>
      </c>
      <c r="Z111" s="110">
        <v>7.31</v>
      </c>
      <c r="AA111" s="110"/>
      <c r="AB111" s="110">
        <f>14.5+7.1</f>
        <v>21.6</v>
      </c>
      <c r="AC111" s="110">
        <f>250.1+6585.12+7.11+0.91</f>
        <v>6843.24</v>
      </c>
      <c r="AD111" s="110">
        <f>1009+3.55</f>
        <v>1012.55</v>
      </c>
      <c r="AE111" s="110">
        <v>12.28</v>
      </c>
      <c r="AF111" s="110"/>
      <c r="AG111" s="110">
        <f>535.75+770.41</f>
        <v>1306.1599999999999</v>
      </c>
      <c r="AH111" s="110"/>
      <c r="AI111" s="110">
        <v>769.57</v>
      </c>
      <c r="AJ111" s="110">
        <v>51.19</v>
      </c>
      <c r="AK111" s="110">
        <f t="shared" si="6"/>
        <v>10064.379999999999</v>
      </c>
      <c r="AL111" s="110">
        <f t="shared" ref="AL111:AL137" si="7">S111-AK111</f>
        <v>0</v>
      </c>
    </row>
    <row r="112" spans="1:38" s="92" customFormat="1" ht="24.9" hidden="1" customHeight="1" x14ac:dyDescent="0.3">
      <c r="A112" s="82">
        <v>111</v>
      </c>
      <c r="B112" s="82" t="s">
        <v>237</v>
      </c>
      <c r="C112" s="82" t="s">
        <v>237</v>
      </c>
      <c r="D112" s="102" t="s">
        <v>850</v>
      </c>
      <c r="E112" s="102" t="s">
        <v>815</v>
      </c>
      <c r="F112" s="231" t="s">
        <v>975</v>
      </c>
      <c r="G112" s="83">
        <v>529</v>
      </c>
      <c r="H112" s="84">
        <v>44743</v>
      </c>
      <c r="I112" s="84">
        <v>46022</v>
      </c>
      <c r="J112" s="85">
        <v>45809</v>
      </c>
      <c r="K112" s="85">
        <v>45838</v>
      </c>
      <c r="L112" s="83" t="s">
        <v>337</v>
      </c>
      <c r="M112" s="86" t="s">
        <v>793</v>
      </c>
      <c r="N112" s="92" t="s">
        <v>1</v>
      </c>
      <c r="O112" s="93">
        <v>45869</v>
      </c>
      <c r="P112" s="92" t="s">
        <v>92</v>
      </c>
      <c r="R112" s="108"/>
      <c r="S112" s="99">
        <v>3828.52</v>
      </c>
      <c r="T112" s="108">
        <v>3828.52</v>
      </c>
      <c r="U112" s="92" t="s">
        <v>35</v>
      </c>
      <c r="V112" s="92" t="s">
        <v>27</v>
      </c>
      <c r="W112" s="109" t="s">
        <v>851</v>
      </c>
      <c r="X112" s="110">
        <v>9.31</v>
      </c>
      <c r="Y112" s="110">
        <v>13.58</v>
      </c>
      <c r="Z112" s="110">
        <v>59.62</v>
      </c>
      <c r="AA112" s="110">
        <v>256.52</v>
      </c>
      <c r="AB112" s="110">
        <v>51.95</v>
      </c>
      <c r="AC112" s="110">
        <v>1746.41</v>
      </c>
      <c r="AD112" s="110">
        <v>475.99</v>
      </c>
      <c r="AE112" s="110">
        <v>289.92</v>
      </c>
      <c r="AF112" s="110">
        <v>38.18</v>
      </c>
      <c r="AG112" s="110">
        <v>606.02</v>
      </c>
      <c r="AH112" s="110">
        <v>20.170000000000002</v>
      </c>
      <c r="AI112" s="110">
        <v>242.26</v>
      </c>
      <c r="AJ112" s="110">
        <v>18.59</v>
      </c>
      <c r="AK112" s="110">
        <f t="shared" si="6"/>
        <v>3828.5200000000004</v>
      </c>
      <c r="AL112" s="110">
        <f t="shared" si="7"/>
        <v>0</v>
      </c>
    </row>
    <row r="113" spans="1:38" s="92" customFormat="1" ht="24.9" hidden="1" customHeight="1" x14ac:dyDescent="0.3">
      <c r="A113" s="82">
        <v>112</v>
      </c>
      <c r="B113" s="82" t="s">
        <v>124</v>
      </c>
      <c r="C113" s="82" t="s">
        <v>124</v>
      </c>
      <c r="D113" s="102" t="s">
        <v>843</v>
      </c>
      <c r="E113" s="102" t="s">
        <v>785</v>
      </c>
      <c r="F113" s="231" t="s">
        <v>495</v>
      </c>
      <c r="G113" s="83">
        <v>106</v>
      </c>
      <c r="H113" s="84">
        <v>43617</v>
      </c>
      <c r="I113" s="84">
        <v>47239</v>
      </c>
      <c r="J113" s="85">
        <v>45748</v>
      </c>
      <c r="K113" s="85">
        <v>45838</v>
      </c>
      <c r="L113" s="94" t="s">
        <v>295</v>
      </c>
      <c r="M113" s="86" t="s">
        <v>281</v>
      </c>
      <c r="N113" s="92" t="s">
        <v>1</v>
      </c>
      <c r="O113" s="93">
        <v>45873</v>
      </c>
      <c r="P113" s="92" t="s">
        <v>275</v>
      </c>
      <c r="R113" s="108"/>
      <c r="S113" s="99">
        <v>19904.21</v>
      </c>
      <c r="T113" s="108">
        <v>19904.21</v>
      </c>
      <c r="U113" s="92" t="s">
        <v>38</v>
      </c>
      <c r="W113" s="109"/>
      <c r="X113" s="110"/>
      <c r="Y113" s="110"/>
      <c r="Z113" s="110"/>
      <c r="AA113" s="110">
        <v>513.77</v>
      </c>
      <c r="AB113" s="110"/>
      <c r="AC113" s="110">
        <v>8299.69</v>
      </c>
      <c r="AD113" s="110">
        <v>2398.73</v>
      </c>
      <c r="AE113" s="110">
        <v>1827.74</v>
      </c>
      <c r="AF113" s="110"/>
      <c r="AG113" s="110">
        <v>3328.88</v>
      </c>
      <c r="AH113" s="110"/>
      <c r="AI113" s="110">
        <v>3535.4</v>
      </c>
      <c r="AJ113" s="110"/>
      <c r="AK113" s="110">
        <f t="shared" si="6"/>
        <v>19904.210000000003</v>
      </c>
      <c r="AL113" s="110">
        <f t="shared" si="7"/>
        <v>0</v>
      </c>
    </row>
    <row r="114" spans="1:38" s="92" customFormat="1" ht="24.9" hidden="1" customHeight="1" x14ac:dyDescent="0.3">
      <c r="A114" s="82">
        <v>113</v>
      </c>
      <c r="B114" s="82" t="s">
        <v>237</v>
      </c>
      <c r="C114" s="82" t="s">
        <v>237</v>
      </c>
      <c r="D114" s="102" t="s">
        <v>853</v>
      </c>
      <c r="E114" s="58" t="s">
        <v>815</v>
      </c>
      <c r="F114" s="58" t="s">
        <v>973</v>
      </c>
      <c r="G114" s="83">
        <v>153</v>
      </c>
      <c r="H114" s="84">
        <v>45474</v>
      </c>
      <c r="I114" s="84">
        <v>45838</v>
      </c>
      <c r="J114" s="85">
        <v>45474</v>
      </c>
      <c r="K114" s="85">
        <v>45838</v>
      </c>
      <c r="L114" s="94" t="s">
        <v>289</v>
      </c>
      <c r="M114" s="109" t="s">
        <v>898</v>
      </c>
      <c r="N114" s="92" t="s">
        <v>1</v>
      </c>
      <c r="O114" s="93">
        <v>45875</v>
      </c>
      <c r="P114" s="92" t="s">
        <v>92</v>
      </c>
      <c r="R114" s="108"/>
      <c r="S114" s="99">
        <v>30112.49</v>
      </c>
      <c r="T114" s="108">
        <v>30112.49</v>
      </c>
      <c r="U114" s="92" t="s">
        <v>38</v>
      </c>
      <c r="V114" s="92" t="s">
        <v>27</v>
      </c>
      <c r="W114" s="109"/>
      <c r="X114" s="110">
        <v>-3625.79</v>
      </c>
      <c r="Y114" s="110">
        <v>552.33000000000004</v>
      </c>
      <c r="Z114" s="110">
        <v>1066.3399999999999</v>
      </c>
      <c r="AA114" s="110">
        <v>603.79</v>
      </c>
      <c r="AB114" s="110">
        <v>428.91</v>
      </c>
      <c r="AC114" s="110">
        <v>18994.189999999999</v>
      </c>
      <c r="AD114" s="110">
        <v>4394.32</v>
      </c>
      <c r="AE114" s="110">
        <v>1387.01</v>
      </c>
      <c r="AF114" s="110">
        <v>-40.880000000000003</v>
      </c>
      <c r="AG114" s="110">
        <v>6045.67</v>
      </c>
      <c r="AH114" s="110">
        <v>417.88</v>
      </c>
      <c r="AI114" s="110">
        <v>-108.38</v>
      </c>
      <c r="AJ114" s="110">
        <v>-2.9</v>
      </c>
      <c r="AK114" s="110">
        <f t="shared" si="6"/>
        <v>30112.489999999991</v>
      </c>
      <c r="AL114" s="110">
        <f t="shared" si="7"/>
        <v>0</v>
      </c>
    </row>
    <row r="115" spans="1:38" s="92" customFormat="1" ht="24.9" hidden="1" customHeight="1" x14ac:dyDescent="0.3">
      <c r="A115" s="82">
        <v>114</v>
      </c>
      <c r="B115" s="82" t="s">
        <v>80</v>
      </c>
      <c r="C115" s="82" t="s">
        <v>80</v>
      </c>
      <c r="D115" s="102" t="s">
        <v>754</v>
      </c>
      <c r="E115" s="102"/>
      <c r="F115" s="102" t="s">
        <v>979</v>
      </c>
      <c r="G115" s="83"/>
      <c r="H115" s="83"/>
      <c r="I115" s="83"/>
      <c r="J115" s="94"/>
      <c r="K115" s="94"/>
      <c r="L115" s="94"/>
      <c r="M115" s="109" t="s">
        <v>879</v>
      </c>
      <c r="N115" s="82" t="s">
        <v>1</v>
      </c>
      <c r="O115" s="93">
        <v>45882</v>
      </c>
      <c r="P115" s="92" t="s">
        <v>92</v>
      </c>
      <c r="R115" s="108"/>
      <c r="S115" s="99">
        <v>1023808.62</v>
      </c>
      <c r="T115" s="108">
        <v>1023808.62</v>
      </c>
      <c r="U115" s="92" t="s">
        <v>38</v>
      </c>
      <c r="W115" s="109" t="s">
        <v>916</v>
      </c>
      <c r="X115" s="110"/>
      <c r="Y115" s="110">
        <v>45838.53</v>
      </c>
      <c r="Z115" s="110"/>
      <c r="AA115" s="110">
        <v>36838.06</v>
      </c>
      <c r="AB115" s="110"/>
      <c r="AC115" s="110">
        <v>360170.54</v>
      </c>
      <c r="AD115" s="110">
        <v>79162.960000000006</v>
      </c>
      <c r="AE115" s="110">
        <v>118288.2</v>
      </c>
      <c r="AF115" s="110"/>
      <c r="AG115" s="110">
        <v>110508.79</v>
      </c>
      <c r="AH115" s="110">
        <v>35970.25</v>
      </c>
      <c r="AI115" s="110">
        <v>136649.42000000001</v>
      </c>
      <c r="AJ115" s="110">
        <v>100381.87</v>
      </c>
      <c r="AK115" s="110">
        <f t="shared" si="6"/>
        <v>1023808.6200000001</v>
      </c>
      <c r="AL115" s="110">
        <f t="shared" si="7"/>
        <v>0</v>
      </c>
    </row>
    <row r="116" spans="1:38" s="92" customFormat="1" ht="24.9" hidden="1" customHeight="1" x14ac:dyDescent="0.3">
      <c r="A116" s="82">
        <v>115</v>
      </c>
      <c r="B116" s="82" t="s">
        <v>10</v>
      </c>
      <c r="C116" s="82" t="s">
        <v>10</v>
      </c>
      <c r="D116" s="102" t="s">
        <v>935</v>
      </c>
      <c r="E116" s="102" t="s">
        <v>875</v>
      </c>
      <c r="F116" s="102" t="s">
        <v>982</v>
      </c>
      <c r="G116" s="83">
        <v>101</v>
      </c>
      <c r="H116" s="84">
        <v>42881</v>
      </c>
      <c r="I116" s="84">
        <v>46112</v>
      </c>
      <c r="J116" s="85">
        <v>45748</v>
      </c>
      <c r="K116" s="85">
        <v>45838</v>
      </c>
      <c r="L116" s="94" t="s">
        <v>295</v>
      </c>
      <c r="M116" s="86" t="s">
        <v>475</v>
      </c>
      <c r="N116" s="92" t="s">
        <v>1</v>
      </c>
      <c r="O116" s="93">
        <v>45887</v>
      </c>
      <c r="P116" s="92" t="s">
        <v>2</v>
      </c>
      <c r="Q116" s="82" t="s">
        <v>168</v>
      </c>
      <c r="R116" s="108"/>
      <c r="S116" s="99">
        <v>281250</v>
      </c>
      <c r="T116" s="108">
        <v>281250</v>
      </c>
      <c r="U116" s="92" t="s">
        <v>38</v>
      </c>
      <c r="W116" s="109"/>
      <c r="X116" s="110"/>
      <c r="Y116" s="110"/>
      <c r="Z116" s="110"/>
      <c r="AA116" s="110"/>
      <c r="AB116" s="110"/>
      <c r="AC116" s="110">
        <v>273000</v>
      </c>
      <c r="AD116" s="110">
        <v>8250</v>
      </c>
      <c r="AE116" s="110"/>
      <c r="AF116" s="110"/>
      <c r="AG116" s="110"/>
      <c r="AH116" s="110"/>
      <c r="AI116" s="110"/>
      <c r="AJ116" s="110"/>
      <c r="AK116" s="110">
        <f t="shared" si="6"/>
        <v>281250</v>
      </c>
      <c r="AL116" s="110">
        <f t="shared" si="7"/>
        <v>0</v>
      </c>
    </row>
    <row r="117" spans="1:38" s="92" customFormat="1" ht="24.9" hidden="1" customHeight="1" x14ac:dyDescent="0.3">
      <c r="A117" s="82">
        <v>116</v>
      </c>
      <c r="B117" s="82" t="s">
        <v>121</v>
      </c>
      <c r="C117" s="82" t="s">
        <v>121</v>
      </c>
      <c r="D117" s="102" t="s">
        <v>951</v>
      </c>
      <c r="E117" s="102" t="s">
        <v>951</v>
      </c>
      <c r="F117" s="231" t="s">
        <v>472</v>
      </c>
      <c r="G117" s="83">
        <v>100</v>
      </c>
      <c r="H117" s="84">
        <v>44967</v>
      </c>
      <c r="I117" s="84">
        <v>46022</v>
      </c>
      <c r="J117" s="84">
        <v>45658</v>
      </c>
      <c r="K117" s="84">
        <v>45747</v>
      </c>
      <c r="L117" s="83" t="s">
        <v>295</v>
      </c>
      <c r="M117" s="102" t="s">
        <v>470</v>
      </c>
      <c r="N117" s="82" t="s">
        <v>1</v>
      </c>
      <c r="O117" s="93">
        <v>45888</v>
      </c>
      <c r="P117" s="82" t="s">
        <v>92</v>
      </c>
      <c r="Q117" s="82"/>
      <c r="R117" s="108"/>
      <c r="S117" s="99">
        <v>70.94</v>
      </c>
      <c r="T117" s="108">
        <v>70.94</v>
      </c>
      <c r="U117" s="92" t="s">
        <v>38</v>
      </c>
      <c r="W117" s="109"/>
      <c r="X117" s="110"/>
      <c r="Y117" s="110"/>
      <c r="Z117" s="110"/>
      <c r="AA117" s="110"/>
      <c r="AB117" s="110"/>
      <c r="AC117" s="110"/>
      <c r="AD117" s="110"/>
      <c r="AE117" s="110">
        <v>70.94</v>
      </c>
      <c r="AF117" s="110"/>
      <c r="AG117" s="110"/>
      <c r="AH117" s="110"/>
      <c r="AI117" s="110"/>
      <c r="AJ117" s="110"/>
      <c r="AK117" s="110"/>
      <c r="AL117" s="110">
        <f t="shared" si="7"/>
        <v>70.94</v>
      </c>
    </row>
    <row r="118" spans="1:38" s="92" customFormat="1" ht="24.9" hidden="1" customHeight="1" x14ac:dyDescent="0.3">
      <c r="A118" s="82">
        <v>117</v>
      </c>
      <c r="B118" s="82" t="s">
        <v>121</v>
      </c>
      <c r="C118" s="82" t="s">
        <v>121</v>
      </c>
      <c r="D118" s="102" t="s">
        <v>951</v>
      </c>
      <c r="E118" s="102" t="s">
        <v>951</v>
      </c>
      <c r="F118" s="231" t="s">
        <v>472</v>
      </c>
      <c r="G118" s="83">
        <v>100</v>
      </c>
      <c r="H118" s="84">
        <v>44967</v>
      </c>
      <c r="I118" s="84">
        <v>46022</v>
      </c>
      <c r="J118" s="84">
        <v>45658</v>
      </c>
      <c r="K118" s="84">
        <v>45747</v>
      </c>
      <c r="L118" s="83" t="s">
        <v>295</v>
      </c>
      <c r="M118" s="102" t="s">
        <v>470</v>
      </c>
      <c r="N118" s="82" t="s">
        <v>1</v>
      </c>
      <c r="O118" s="93">
        <v>45888</v>
      </c>
      <c r="P118" s="82" t="s">
        <v>92</v>
      </c>
      <c r="Q118" s="82"/>
      <c r="R118" s="108"/>
      <c r="S118" s="99">
        <v>27942.31</v>
      </c>
      <c r="T118" s="124">
        <v>27942.31</v>
      </c>
      <c r="U118" s="92" t="s">
        <v>38</v>
      </c>
      <c r="W118" s="109"/>
      <c r="X118" s="110"/>
      <c r="Y118" s="110"/>
      <c r="Z118" s="110"/>
      <c r="AA118" s="110"/>
      <c r="AB118" s="110"/>
      <c r="AC118" s="110">
        <v>27942.31</v>
      </c>
      <c r="AD118" s="110"/>
      <c r="AE118" s="110"/>
      <c r="AF118" s="110"/>
      <c r="AG118" s="110"/>
      <c r="AH118" s="110"/>
      <c r="AI118" s="110"/>
      <c r="AJ118" s="110"/>
      <c r="AK118" s="110"/>
      <c r="AL118" s="110">
        <f t="shared" si="7"/>
        <v>27942.31</v>
      </c>
    </row>
    <row r="119" spans="1:38" s="88" customFormat="1" ht="24.9" hidden="1" customHeight="1" x14ac:dyDescent="0.3">
      <c r="A119" s="82">
        <v>118</v>
      </c>
      <c r="B119" s="92" t="s">
        <v>30</v>
      </c>
      <c r="C119" s="82" t="s">
        <v>30</v>
      </c>
      <c r="D119" s="131" t="s">
        <v>1108</v>
      </c>
      <c r="E119" s="102" t="s">
        <v>880</v>
      </c>
      <c r="F119" s="167" t="s">
        <v>1105</v>
      </c>
      <c r="G119" s="83">
        <v>172</v>
      </c>
      <c r="H119" s="84">
        <v>44252</v>
      </c>
      <c r="I119" s="84">
        <v>47118</v>
      </c>
      <c r="J119" s="85">
        <v>45748</v>
      </c>
      <c r="K119" s="85">
        <v>45838</v>
      </c>
      <c r="L119" s="94" t="s">
        <v>295</v>
      </c>
      <c r="M119" s="86" t="s">
        <v>386</v>
      </c>
      <c r="N119" s="82" t="s">
        <v>1</v>
      </c>
      <c r="O119" s="87">
        <v>45890</v>
      </c>
      <c r="P119" s="82" t="s">
        <v>2</v>
      </c>
      <c r="Q119" s="82" t="s">
        <v>168</v>
      </c>
      <c r="R119" s="96"/>
      <c r="S119" s="97">
        <v>15200</v>
      </c>
      <c r="T119" s="108">
        <v>15200</v>
      </c>
      <c r="U119" s="92" t="s">
        <v>38</v>
      </c>
      <c r="W119" s="89"/>
      <c r="X119" s="98"/>
      <c r="Y119" s="98"/>
      <c r="Z119" s="98"/>
      <c r="AA119" s="98"/>
      <c r="AB119" s="98"/>
      <c r="AC119" s="98">
        <v>7200</v>
      </c>
      <c r="AD119" s="98">
        <v>3200</v>
      </c>
      <c r="AE119" s="98">
        <v>2400</v>
      </c>
      <c r="AF119" s="98"/>
      <c r="AG119" s="98"/>
      <c r="AH119" s="98"/>
      <c r="AI119" s="98">
        <v>2400</v>
      </c>
      <c r="AJ119" s="98"/>
      <c r="AK119" s="233">
        <f>SUM(X119:AJ119)</f>
        <v>15200</v>
      </c>
      <c r="AL119" s="110">
        <f t="shared" si="7"/>
        <v>0</v>
      </c>
    </row>
    <row r="120" spans="1:38" s="88" customFormat="1" ht="24.9" hidden="1" customHeight="1" x14ac:dyDescent="0.3">
      <c r="A120" s="82">
        <v>119</v>
      </c>
      <c r="B120" s="92" t="s">
        <v>237</v>
      </c>
      <c r="C120" s="92" t="s">
        <v>237</v>
      </c>
      <c r="D120" s="102" t="s">
        <v>952</v>
      </c>
      <c r="E120" s="58" t="s">
        <v>815</v>
      </c>
      <c r="F120" s="231" t="s">
        <v>975</v>
      </c>
      <c r="G120" s="83">
        <v>529</v>
      </c>
      <c r="H120" s="84">
        <v>44743</v>
      </c>
      <c r="I120" s="84">
        <v>46022</v>
      </c>
      <c r="J120" s="85">
        <v>45839</v>
      </c>
      <c r="K120" s="85">
        <v>45869</v>
      </c>
      <c r="L120" s="83" t="s">
        <v>337</v>
      </c>
      <c r="M120" s="86" t="s">
        <v>793</v>
      </c>
      <c r="N120" s="92" t="s">
        <v>1</v>
      </c>
      <c r="O120" s="93">
        <v>45895</v>
      </c>
      <c r="P120" s="92" t="s">
        <v>92</v>
      </c>
      <c r="Q120" s="82"/>
      <c r="R120" s="96"/>
      <c r="S120" s="97">
        <v>4367.1400000000003</v>
      </c>
      <c r="T120" s="108">
        <v>4367.1400000000003</v>
      </c>
      <c r="U120" s="92" t="s">
        <v>38</v>
      </c>
      <c r="V120" s="92" t="s">
        <v>27</v>
      </c>
      <c r="W120" s="89"/>
      <c r="X120" s="98">
        <v>4.8099999999999996</v>
      </c>
      <c r="Y120" s="98">
        <v>61.18</v>
      </c>
      <c r="Z120" s="98">
        <v>64.099999999999994</v>
      </c>
      <c r="AA120" s="98">
        <v>272.22000000000003</v>
      </c>
      <c r="AB120" s="98">
        <v>8.94</v>
      </c>
      <c r="AC120" s="98">
        <v>2178.69</v>
      </c>
      <c r="AD120" s="98">
        <v>454.47</v>
      </c>
      <c r="AE120" s="98">
        <v>262.47000000000003</v>
      </c>
      <c r="AF120" s="98">
        <v>81.010000000000005</v>
      </c>
      <c r="AG120" s="98">
        <v>638.94000000000005</v>
      </c>
      <c r="AH120" s="98">
        <v>41.26</v>
      </c>
      <c r="AI120" s="98">
        <v>277.92</v>
      </c>
      <c r="AJ120" s="98">
        <v>21.13</v>
      </c>
      <c r="AK120" s="110">
        <f>SUM(X120:AJ120)</f>
        <v>4367.1400000000003</v>
      </c>
      <c r="AL120" s="110">
        <f t="shared" si="7"/>
        <v>0</v>
      </c>
    </row>
    <row r="121" spans="1:38" s="88" customFormat="1" ht="24.9" customHeight="1" x14ac:dyDescent="0.3">
      <c r="A121" s="82">
        <v>120</v>
      </c>
      <c r="B121" s="92" t="s">
        <v>0</v>
      </c>
      <c r="C121" s="92" t="s">
        <v>0</v>
      </c>
      <c r="D121" s="102" t="s">
        <v>958</v>
      </c>
      <c r="E121" s="102" t="s">
        <v>814</v>
      </c>
      <c r="F121" s="102" t="s">
        <v>987</v>
      </c>
      <c r="G121" s="83">
        <v>154</v>
      </c>
      <c r="H121" s="84">
        <v>43082</v>
      </c>
      <c r="I121" s="84">
        <v>46507</v>
      </c>
      <c r="J121" s="85">
        <v>45778</v>
      </c>
      <c r="K121" s="85">
        <v>45869</v>
      </c>
      <c r="L121" s="94" t="s">
        <v>295</v>
      </c>
      <c r="M121" s="86" t="s">
        <v>813</v>
      </c>
      <c r="N121" s="92" t="s">
        <v>1</v>
      </c>
      <c r="O121" s="93">
        <v>45898</v>
      </c>
      <c r="P121" s="82" t="s">
        <v>2</v>
      </c>
      <c r="Q121" s="82" t="s">
        <v>166</v>
      </c>
      <c r="R121" s="96"/>
      <c r="S121" s="321">
        <v>63698</v>
      </c>
      <c r="T121" s="108">
        <v>63698</v>
      </c>
      <c r="U121" s="92" t="s">
        <v>38</v>
      </c>
      <c r="W121" s="89"/>
      <c r="X121" s="98"/>
      <c r="Y121" s="98"/>
      <c r="Z121" s="98"/>
      <c r="AA121" s="98"/>
      <c r="AB121" s="98"/>
      <c r="AC121" s="98">
        <v>42692.5</v>
      </c>
      <c r="AD121" s="98">
        <v>21005.5</v>
      </c>
      <c r="AE121" s="98"/>
      <c r="AF121" s="98"/>
      <c r="AG121" s="98"/>
      <c r="AH121" s="98"/>
      <c r="AI121" s="98"/>
      <c r="AJ121" s="98"/>
      <c r="AK121" s="110"/>
      <c r="AL121" s="110">
        <f t="shared" si="7"/>
        <v>63698</v>
      </c>
    </row>
    <row r="122" spans="1:38" s="88" customFormat="1" ht="24.9" hidden="1" customHeight="1" x14ac:dyDescent="0.3">
      <c r="A122" s="82">
        <v>121</v>
      </c>
      <c r="B122" s="92" t="s">
        <v>107</v>
      </c>
      <c r="C122" s="92" t="s">
        <v>107</v>
      </c>
      <c r="D122" s="102" t="s">
        <v>965</v>
      </c>
      <c r="E122" s="58" t="s">
        <v>787</v>
      </c>
      <c r="F122" s="231" t="s">
        <v>505</v>
      </c>
      <c r="G122" s="83">
        <v>113</v>
      </c>
      <c r="H122" s="84">
        <v>44699</v>
      </c>
      <c r="I122" s="84">
        <v>46524</v>
      </c>
      <c r="J122" s="85">
        <v>45748</v>
      </c>
      <c r="K122" s="85">
        <v>45838</v>
      </c>
      <c r="L122" s="83" t="s">
        <v>295</v>
      </c>
      <c r="M122" s="86" t="s">
        <v>502</v>
      </c>
      <c r="N122" s="92" t="s">
        <v>1</v>
      </c>
      <c r="O122" s="93">
        <v>45908</v>
      </c>
      <c r="P122" s="92" t="s">
        <v>275</v>
      </c>
      <c r="Q122" s="82"/>
      <c r="R122" s="96"/>
      <c r="S122" s="99">
        <v>71610</v>
      </c>
      <c r="T122" s="108">
        <v>979628.98</v>
      </c>
      <c r="U122" s="92" t="s">
        <v>67</v>
      </c>
      <c r="V122" s="92"/>
      <c r="W122" s="109"/>
      <c r="X122" s="110"/>
      <c r="Y122" s="110"/>
      <c r="Z122" s="110"/>
      <c r="AA122" s="110"/>
      <c r="AB122" s="110"/>
      <c r="AC122" s="108">
        <v>71610</v>
      </c>
      <c r="AD122" s="98"/>
      <c r="AE122" s="98"/>
      <c r="AF122" s="98"/>
      <c r="AG122" s="98"/>
      <c r="AH122" s="98"/>
      <c r="AI122" s="98"/>
      <c r="AJ122" s="98"/>
      <c r="AK122" s="110"/>
      <c r="AL122" s="110">
        <f t="shared" si="7"/>
        <v>71610</v>
      </c>
    </row>
    <row r="123" spans="1:38" s="88" customFormat="1" ht="24.9" hidden="1" customHeight="1" x14ac:dyDescent="0.3">
      <c r="A123" s="82">
        <v>122</v>
      </c>
      <c r="B123" s="92" t="s">
        <v>107</v>
      </c>
      <c r="C123" s="92" t="s">
        <v>107</v>
      </c>
      <c r="D123" s="134" t="s">
        <v>966</v>
      </c>
      <c r="E123" s="131" t="s">
        <v>787</v>
      </c>
      <c r="F123" s="231" t="s">
        <v>503</v>
      </c>
      <c r="G123" s="83">
        <v>248</v>
      </c>
      <c r="H123" s="84">
        <v>44699</v>
      </c>
      <c r="I123" s="84">
        <v>46524</v>
      </c>
      <c r="J123" s="85">
        <v>45748</v>
      </c>
      <c r="K123" s="85">
        <v>45838</v>
      </c>
      <c r="L123" s="83" t="s">
        <v>295</v>
      </c>
      <c r="M123" s="112" t="s">
        <v>502</v>
      </c>
      <c r="N123" s="92" t="s">
        <v>1</v>
      </c>
      <c r="O123" s="93">
        <v>45908</v>
      </c>
      <c r="P123" s="92" t="s">
        <v>275</v>
      </c>
      <c r="Q123" s="82"/>
      <c r="R123" s="96"/>
      <c r="S123" s="97">
        <v>610487.64</v>
      </c>
      <c r="T123" s="108">
        <v>979628.98</v>
      </c>
      <c r="U123" s="92" t="s">
        <v>67</v>
      </c>
      <c r="W123" s="89"/>
      <c r="X123" s="98">
        <v>2907.2</v>
      </c>
      <c r="Y123" s="98">
        <v>19838.439999999999</v>
      </c>
      <c r="Z123" s="98">
        <v>1119.3900000000001</v>
      </c>
      <c r="AA123" s="98">
        <v>22875.37</v>
      </c>
      <c r="AB123" s="98">
        <v>18129.52</v>
      </c>
      <c r="AC123" s="98">
        <v>298042.09999999998</v>
      </c>
      <c r="AD123" s="98">
        <v>64977.68</v>
      </c>
      <c r="AE123" s="98">
        <v>37433.74</v>
      </c>
      <c r="AF123" s="98">
        <v>9387.49</v>
      </c>
      <c r="AG123" s="98">
        <v>79550.41</v>
      </c>
      <c r="AH123" s="98">
        <v>7956.5</v>
      </c>
      <c r="AI123" s="98">
        <v>43166.01</v>
      </c>
      <c r="AJ123" s="98">
        <v>5103.8</v>
      </c>
      <c r="AK123" s="110"/>
      <c r="AL123" s="110">
        <f t="shared" si="7"/>
        <v>610487.64</v>
      </c>
    </row>
    <row r="124" spans="1:38" s="88" customFormat="1" ht="24.9" hidden="1" customHeight="1" x14ac:dyDescent="0.3">
      <c r="A124" s="82">
        <v>123</v>
      </c>
      <c r="B124" s="92" t="s">
        <v>107</v>
      </c>
      <c r="C124" s="92" t="s">
        <v>107</v>
      </c>
      <c r="D124" s="102" t="s">
        <v>967</v>
      </c>
      <c r="E124" s="58" t="s">
        <v>787</v>
      </c>
      <c r="F124" s="231" t="s">
        <v>503</v>
      </c>
      <c r="G124" s="83">
        <v>109</v>
      </c>
      <c r="H124" s="84">
        <v>44699</v>
      </c>
      <c r="I124" s="84">
        <v>46524</v>
      </c>
      <c r="J124" s="85">
        <v>45748</v>
      </c>
      <c r="K124" s="85">
        <v>45838</v>
      </c>
      <c r="L124" s="83" t="s">
        <v>295</v>
      </c>
      <c r="M124" s="86" t="s">
        <v>502</v>
      </c>
      <c r="N124" s="92" t="s">
        <v>1</v>
      </c>
      <c r="O124" s="93">
        <v>45908</v>
      </c>
      <c r="P124" s="92" t="s">
        <v>275</v>
      </c>
      <c r="Q124" s="82"/>
      <c r="R124" s="96"/>
      <c r="S124" s="97">
        <v>116605.67</v>
      </c>
      <c r="T124" s="108">
        <v>979628.98</v>
      </c>
      <c r="U124" s="92" t="s">
        <v>67</v>
      </c>
      <c r="W124" s="89"/>
      <c r="X124" s="98"/>
      <c r="Y124" s="98">
        <v>459.62</v>
      </c>
      <c r="Z124" s="98"/>
      <c r="AA124" s="98">
        <v>1285.3800000000001</v>
      </c>
      <c r="AB124" s="98">
        <v>435.86</v>
      </c>
      <c r="AC124" s="98">
        <v>69109.897400000002</v>
      </c>
      <c r="AD124" s="98">
        <v>7081.26</v>
      </c>
      <c r="AE124" s="98">
        <v>5401.32</v>
      </c>
      <c r="AF124" s="98">
        <v>2801.77</v>
      </c>
      <c r="AG124" s="98">
        <v>14423.33</v>
      </c>
      <c r="AH124" s="98">
        <v>2958.86</v>
      </c>
      <c r="AI124" s="98">
        <v>11929.78</v>
      </c>
      <c r="AJ124" s="98">
        <v>718.59</v>
      </c>
      <c r="AK124" s="110"/>
      <c r="AL124" s="110">
        <f t="shared" si="7"/>
        <v>116605.67</v>
      </c>
    </row>
    <row r="125" spans="1:38" s="88" customFormat="1" ht="24.9" hidden="1" customHeight="1" x14ac:dyDescent="0.3">
      <c r="A125" s="82">
        <v>124</v>
      </c>
      <c r="B125" s="92" t="s">
        <v>107</v>
      </c>
      <c r="C125" s="92" t="s">
        <v>107</v>
      </c>
      <c r="D125" s="102" t="s">
        <v>968</v>
      </c>
      <c r="E125" s="58" t="s">
        <v>787</v>
      </c>
      <c r="F125" s="231" t="s">
        <v>503</v>
      </c>
      <c r="G125" s="83">
        <v>193</v>
      </c>
      <c r="H125" s="84">
        <v>44699</v>
      </c>
      <c r="I125" s="84">
        <v>46524</v>
      </c>
      <c r="J125" s="85">
        <v>45748</v>
      </c>
      <c r="K125" s="85">
        <v>45838</v>
      </c>
      <c r="L125" s="83" t="s">
        <v>295</v>
      </c>
      <c r="M125" s="86" t="s">
        <v>502</v>
      </c>
      <c r="N125" s="92" t="s">
        <v>1</v>
      </c>
      <c r="O125" s="93">
        <v>45908</v>
      </c>
      <c r="P125" s="92" t="s">
        <v>275</v>
      </c>
      <c r="R125" s="96"/>
      <c r="S125" s="97">
        <v>81175.97</v>
      </c>
      <c r="T125" s="108">
        <v>979628.98</v>
      </c>
      <c r="U125" s="92" t="s">
        <v>67</v>
      </c>
      <c r="W125" s="89"/>
      <c r="X125" s="98">
        <v>-7457.07</v>
      </c>
      <c r="Y125" s="98">
        <v>3892.44</v>
      </c>
      <c r="Z125" s="98">
        <v>205.33</v>
      </c>
      <c r="AA125" s="98">
        <v>470.13</v>
      </c>
      <c r="AB125" s="98">
        <v>2442.9699999999998</v>
      </c>
      <c r="AC125" s="98">
        <v>59129.01</v>
      </c>
      <c r="AD125" s="98">
        <v>8873.9</v>
      </c>
      <c r="AE125" s="98">
        <v>5185.72</v>
      </c>
      <c r="AF125" s="98">
        <v>-427.04</v>
      </c>
      <c r="AG125" s="98">
        <v>10740.17</v>
      </c>
      <c r="AH125" s="98">
        <v>-64.680000000000007</v>
      </c>
      <c r="AI125" s="98">
        <v>-1814.91</v>
      </c>
      <c r="AJ125" s="98"/>
      <c r="AK125" s="233">
        <f>SUM(X125:AJ125)</f>
        <v>81175.970000000016</v>
      </c>
      <c r="AL125" s="110">
        <f t="shared" si="7"/>
        <v>0</v>
      </c>
    </row>
    <row r="126" spans="1:38" s="101" customFormat="1" ht="24.9" hidden="1" customHeight="1" x14ac:dyDescent="0.3">
      <c r="A126" s="82">
        <v>125</v>
      </c>
      <c r="B126" s="92" t="s">
        <v>107</v>
      </c>
      <c r="C126" s="92" t="s">
        <v>107</v>
      </c>
      <c r="D126" s="102" t="s">
        <v>969</v>
      </c>
      <c r="E126" s="58" t="s">
        <v>788</v>
      </c>
      <c r="F126" s="231" t="s">
        <v>514</v>
      </c>
      <c r="G126" s="83">
        <v>116</v>
      </c>
      <c r="H126" s="84">
        <v>44508</v>
      </c>
      <c r="I126" s="84">
        <v>46022</v>
      </c>
      <c r="J126" s="85">
        <v>45748</v>
      </c>
      <c r="K126" s="85">
        <v>45838</v>
      </c>
      <c r="L126" s="83" t="s">
        <v>295</v>
      </c>
      <c r="M126" s="86" t="s">
        <v>513</v>
      </c>
      <c r="N126" s="92" t="s">
        <v>1</v>
      </c>
      <c r="O126" s="93">
        <v>45908</v>
      </c>
      <c r="P126" s="92" t="s">
        <v>275</v>
      </c>
      <c r="Q126" s="88"/>
      <c r="R126" s="103"/>
      <c r="S126" s="111">
        <v>14631.77</v>
      </c>
      <c r="T126" s="108">
        <v>979628.98</v>
      </c>
      <c r="U126" s="92" t="s">
        <v>67</v>
      </c>
      <c r="V126" s="88"/>
      <c r="W126" s="89"/>
      <c r="X126" s="98">
        <v>9.33</v>
      </c>
      <c r="Y126" s="98">
        <v>15.9</v>
      </c>
      <c r="Z126" s="98">
        <v>20.47</v>
      </c>
      <c r="AA126" s="98">
        <v>1921.88</v>
      </c>
      <c r="AB126" s="98">
        <v>1.59</v>
      </c>
      <c r="AC126" s="98">
        <v>3614.18</v>
      </c>
      <c r="AD126" s="98">
        <v>2062.38</v>
      </c>
      <c r="AE126" s="98">
        <v>1058.94</v>
      </c>
      <c r="AF126" s="98">
        <v>10.44</v>
      </c>
      <c r="AG126" s="98">
        <v>4042.05</v>
      </c>
      <c r="AH126" s="98">
        <v>20.67</v>
      </c>
      <c r="AI126" s="98">
        <v>1853.94</v>
      </c>
      <c r="AJ126" s="98"/>
      <c r="AK126" s="233">
        <f>SUM(X126:AJ126)</f>
        <v>14631.77</v>
      </c>
      <c r="AL126" s="110">
        <f t="shared" si="7"/>
        <v>0</v>
      </c>
    </row>
    <row r="127" spans="1:38" s="101" customFormat="1" ht="24.9" hidden="1" customHeight="1" x14ac:dyDescent="0.3">
      <c r="A127" s="82">
        <v>126</v>
      </c>
      <c r="B127" s="92" t="s">
        <v>107</v>
      </c>
      <c r="C127" s="92" t="s">
        <v>107</v>
      </c>
      <c r="D127" s="102" t="s">
        <v>970</v>
      </c>
      <c r="E127" s="58" t="s">
        <v>789</v>
      </c>
      <c r="F127" s="231" t="s">
        <v>511</v>
      </c>
      <c r="G127" s="83">
        <v>115</v>
      </c>
      <c r="H127" s="84">
        <v>45002</v>
      </c>
      <c r="I127" s="84">
        <v>45930</v>
      </c>
      <c r="J127" s="85">
        <v>45748</v>
      </c>
      <c r="K127" s="85">
        <v>45838</v>
      </c>
      <c r="L127" s="83" t="s">
        <v>295</v>
      </c>
      <c r="M127" s="86" t="s">
        <v>510</v>
      </c>
      <c r="N127" s="92" t="s">
        <v>1</v>
      </c>
      <c r="O127" s="93">
        <v>45908</v>
      </c>
      <c r="P127" s="92" t="s">
        <v>275</v>
      </c>
      <c r="R127" s="103"/>
      <c r="S127" s="111">
        <v>27362.97</v>
      </c>
      <c r="T127" s="108">
        <v>979628.98</v>
      </c>
      <c r="U127" s="92" t="s">
        <v>67</v>
      </c>
      <c r="V127" s="88"/>
      <c r="W127" s="89"/>
      <c r="X127" s="98">
        <v>53.61</v>
      </c>
      <c r="Y127" s="98">
        <v>160.18</v>
      </c>
      <c r="Z127" s="98"/>
      <c r="AA127" s="98">
        <v>1574.52</v>
      </c>
      <c r="AB127" s="98">
        <v>295.64999999999998</v>
      </c>
      <c r="AC127" s="98">
        <v>12701.57</v>
      </c>
      <c r="AD127" s="98">
        <v>2984.5</v>
      </c>
      <c r="AE127" s="98">
        <v>3245.52</v>
      </c>
      <c r="AF127" s="98">
        <v>648.41999999999996</v>
      </c>
      <c r="AG127" s="98">
        <v>3269.66</v>
      </c>
      <c r="AH127" s="98">
        <v>26.7</v>
      </c>
      <c r="AI127" s="98">
        <v>2402.64</v>
      </c>
      <c r="AJ127" s="98"/>
      <c r="AK127" s="233">
        <f>SUM(X127:AJ127)</f>
        <v>27362.969999999998</v>
      </c>
      <c r="AL127" s="110">
        <f t="shared" si="7"/>
        <v>0</v>
      </c>
    </row>
    <row r="128" spans="1:38" s="101" customFormat="1" ht="24.9" hidden="1" customHeight="1" x14ac:dyDescent="0.3">
      <c r="A128" s="82">
        <v>127</v>
      </c>
      <c r="B128" s="92" t="s">
        <v>107</v>
      </c>
      <c r="C128" s="92" t="s">
        <v>107</v>
      </c>
      <c r="D128" s="102" t="s">
        <v>971</v>
      </c>
      <c r="E128" s="58" t="s">
        <v>882</v>
      </c>
      <c r="F128" s="231" t="s">
        <v>508</v>
      </c>
      <c r="G128" s="83">
        <v>114</v>
      </c>
      <c r="H128" s="84">
        <v>44924</v>
      </c>
      <c r="I128" s="84">
        <v>46022</v>
      </c>
      <c r="J128" s="85">
        <v>45748</v>
      </c>
      <c r="K128" s="85">
        <v>45838</v>
      </c>
      <c r="L128" s="83" t="s">
        <v>295</v>
      </c>
      <c r="M128" s="121" t="s">
        <v>507</v>
      </c>
      <c r="N128" s="92" t="s">
        <v>1</v>
      </c>
      <c r="O128" s="93">
        <v>45908</v>
      </c>
      <c r="P128" s="92" t="s">
        <v>275</v>
      </c>
      <c r="R128" s="103"/>
      <c r="S128" s="111">
        <v>57754.96</v>
      </c>
      <c r="T128" s="108">
        <v>979628.98</v>
      </c>
      <c r="U128" s="92" t="s">
        <v>67</v>
      </c>
      <c r="V128" s="88"/>
      <c r="W128" s="89"/>
      <c r="X128" s="98">
        <v>515.54999999999995</v>
      </c>
      <c r="Y128" s="98">
        <v>1081.6500000000001</v>
      </c>
      <c r="Z128" s="98">
        <v>264.37</v>
      </c>
      <c r="AA128" s="98">
        <v>2957.64</v>
      </c>
      <c r="AB128" s="98">
        <v>1817.55</v>
      </c>
      <c r="AC128" s="98">
        <v>25094.54</v>
      </c>
      <c r="AD128" s="98">
        <v>6629.24</v>
      </c>
      <c r="AE128" s="98">
        <v>3429.87</v>
      </c>
      <c r="AF128" s="98">
        <v>1094.56</v>
      </c>
      <c r="AG128" s="98">
        <v>7382</v>
      </c>
      <c r="AH128" s="98">
        <v>638.21</v>
      </c>
      <c r="AI128" s="98">
        <v>6849.78</v>
      </c>
      <c r="AJ128" s="98"/>
      <c r="AK128" s="233">
        <f t="shared" ref="AK128:AK137" si="8">SUM(X128:AJ128)</f>
        <v>57754.96</v>
      </c>
      <c r="AL128" s="110">
        <f t="shared" si="7"/>
        <v>0</v>
      </c>
    </row>
    <row r="129" spans="1:38" s="101" customFormat="1" ht="24.9" customHeight="1" x14ac:dyDescent="0.3">
      <c r="A129" s="82">
        <v>128</v>
      </c>
      <c r="B129" s="92" t="s">
        <v>0</v>
      </c>
      <c r="C129" s="92" t="s">
        <v>0</v>
      </c>
      <c r="D129" s="102" t="s">
        <v>1099</v>
      </c>
      <c r="E129" s="102" t="s">
        <v>773</v>
      </c>
      <c r="F129" s="102" t="s">
        <v>984</v>
      </c>
      <c r="G129" s="83">
        <v>341</v>
      </c>
      <c r="H129" s="84">
        <v>42069</v>
      </c>
      <c r="I129" s="84">
        <v>46022</v>
      </c>
      <c r="J129" s="85">
        <v>45658</v>
      </c>
      <c r="K129" s="85">
        <v>45838</v>
      </c>
      <c r="L129" s="85" t="s">
        <v>872</v>
      </c>
      <c r="M129" s="86" t="s">
        <v>685</v>
      </c>
      <c r="N129" s="82" t="s">
        <v>1</v>
      </c>
      <c r="O129" s="93">
        <v>45912</v>
      </c>
      <c r="P129" s="92" t="s">
        <v>2</v>
      </c>
      <c r="Q129" s="82" t="s">
        <v>168</v>
      </c>
      <c r="R129" s="103"/>
      <c r="S129" s="319">
        <v>36200</v>
      </c>
      <c r="T129" s="108">
        <v>36200</v>
      </c>
      <c r="U129" s="92" t="s">
        <v>67</v>
      </c>
      <c r="V129" s="88"/>
      <c r="W129" s="89"/>
      <c r="X129" s="98"/>
      <c r="Y129" s="98"/>
      <c r="Z129" s="98"/>
      <c r="AA129" s="98">
        <v>6100</v>
      </c>
      <c r="AB129" s="98"/>
      <c r="AC129" s="98">
        <v>17800</v>
      </c>
      <c r="AD129" s="98">
        <v>9900</v>
      </c>
      <c r="AE129" s="98">
        <v>100</v>
      </c>
      <c r="AF129" s="98"/>
      <c r="AG129" s="98"/>
      <c r="AH129" s="98"/>
      <c r="AI129" s="98">
        <v>2300</v>
      </c>
      <c r="AJ129" s="98"/>
      <c r="AK129" s="233">
        <f t="shared" si="8"/>
        <v>36200</v>
      </c>
      <c r="AL129" s="110">
        <f t="shared" si="7"/>
        <v>0</v>
      </c>
    </row>
    <row r="130" spans="1:38" s="88" customFormat="1" ht="24.9" hidden="1" customHeight="1" x14ac:dyDescent="0.3">
      <c r="A130" s="92">
        <v>129</v>
      </c>
      <c r="B130" s="92" t="s">
        <v>17</v>
      </c>
      <c r="C130" s="92" t="s">
        <v>17</v>
      </c>
      <c r="D130" s="109" t="s">
        <v>1184</v>
      </c>
      <c r="E130" s="109" t="s">
        <v>986</v>
      </c>
      <c r="F130" s="109" t="s">
        <v>986</v>
      </c>
      <c r="G130" s="83">
        <v>437</v>
      </c>
      <c r="H130" s="84">
        <v>45593</v>
      </c>
      <c r="I130" s="84">
        <v>46322</v>
      </c>
      <c r="J130" s="85">
        <v>45773</v>
      </c>
      <c r="K130" s="85">
        <v>45863</v>
      </c>
      <c r="L130" s="83" t="s">
        <v>295</v>
      </c>
      <c r="M130" s="109" t="s">
        <v>795</v>
      </c>
      <c r="N130" s="92" t="s">
        <v>1</v>
      </c>
      <c r="O130" s="93">
        <v>45915</v>
      </c>
      <c r="P130" s="92" t="s">
        <v>2</v>
      </c>
      <c r="Q130" s="92" t="s">
        <v>166</v>
      </c>
      <c r="R130" s="108"/>
      <c r="S130" s="123">
        <v>48750</v>
      </c>
      <c r="T130" s="108">
        <v>48750</v>
      </c>
      <c r="U130" s="92" t="s">
        <v>67</v>
      </c>
      <c r="W130" s="89"/>
      <c r="X130" s="98"/>
      <c r="Y130" s="98"/>
      <c r="Z130" s="98"/>
      <c r="AA130" s="98"/>
      <c r="AB130" s="98"/>
      <c r="AC130" s="98">
        <v>48750</v>
      </c>
      <c r="AD130" s="98"/>
      <c r="AE130" s="98"/>
      <c r="AF130" s="98"/>
      <c r="AG130" s="98"/>
      <c r="AH130" s="98"/>
      <c r="AI130" s="98"/>
      <c r="AJ130" s="98"/>
      <c r="AK130" s="233"/>
      <c r="AL130" s="110"/>
    </row>
    <row r="131" spans="1:38" s="101" customFormat="1" ht="24.9" hidden="1" customHeight="1" x14ac:dyDescent="0.3">
      <c r="A131" s="82">
        <v>130</v>
      </c>
      <c r="B131" s="92" t="s">
        <v>108</v>
      </c>
      <c r="C131" s="92" t="s">
        <v>108</v>
      </c>
      <c r="D131" s="270" t="s">
        <v>953</v>
      </c>
      <c r="E131" s="58"/>
      <c r="F131" s="231" t="s">
        <v>408</v>
      </c>
      <c r="G131" s="83">
        <v>68</v>
      </c>
      <c r="H131" s="84">
        <v>44927</v>
      </c>
      <c r="I131" s="84">
        <v>46022</v>
      </c>
      <c r="J131" s="85">
        <v>45444</v>
      </c>
      <c r="K131" s="85">
        <v>45657</v>
      </c>
      <c r="L131" s="94" t="s">
        <v>872</v>
      </c>
      <c r="M131" s="106" t="s">
        <v>407</v>
      </c>
      <c r="N131" s="92" t="s">
        <v>1</v>
      </c>
      <c r="O131" s="93">
        <v>45919</v>
      </c>
      <c r="P131" s="92" t="s">
        <v>275</v>
      </c>
      <c r="R131" s="103"/>
      <c r="S131" s="97">
        <v>214989.79</v>
      </c>
      <c r="T131" s="130">
        <v>387153.49</v>
      </c>
      <c r="U131" s="92" t="s">
        <v>67</v>
      </c>
      <c r="V131" s="88"/>
      <c r="W131" s="269" t="s">
        <v>954</v>
      </c>
      <c r="X131" s="98">
        <v>7481.66</v>
      </c>
      <c r="Y131" s="98">
        <v>0.5</v>
      </c>
      <c r="Z131" s="98"/>
      <c r="AA131" s="98">
        <v>8637.4500000000007</v>
      </c>
      <c r="AB131" s="98">
        <v>1526.49</v>
      </c>
      <c r="AC131" s="98">
        <v>108367.3</v>
      </c>
      <c r="AD131" s="98">
        <v>27143.72</v>
      </c>
      <c r="AE131" s="98">
        <v>11246.59</v>
      </c>
      <c r="AF131" s="98">
        <v>585.49</v>
      </c>
      <c r="AG131" s="98">
        <v>19120.28</v>
      </c>
      <c r="AH131" s="98">
        <v>746.61</v>
      </c>
      <c r="AI131" s="98">
        <v>29211.94</v>
      </c>
      <c r="AJ131" s="98">
        <v>921.76</v>
      </c>
      <c r="AK131" s="233">
        <f t="shared" si="8"/>
        <v>214989.78999999998</v>
      </c>
      <c r="AL131" s="110">
        <f t="shared" si="7"/>
        <v>0</v>
      </c>
    </row>
    <row r="132" spans="1:38" s="101" customFormat="1" ht="24.9" hidden="1" customHeight="1" x14ac:dyDescent="0.3">
      <c r="A132" s="82">
        <v>131</v>
      </c>
      <c r="B132" s="92" t="s">
        <v>108</v>
      </c>
      <c r="C132" s="92" t="s">
        <v>108</v>
      </c>
      <c r="D132" s="102" t="s">
        <v>1110</v>
      </c>
      <c r="E132" s="58"/>
      <c r="F132" s="231" t="s">
        <v>1113</v>
      </c>
      <c r="G132" s="59">
        <v>152</v>
      </c>
      <c r="H132" s="107">
        <v>45078</v>
      </c>
      <c r="I132" s="141">
        <v>45821</v>
      </c>
      <c r="J132" s="107" t="s">
        <v>1114</v>
      </c>
      <c r="K132" s="107">
        <v>45808</v>
      </c>
      <c r="L132" s="59" t="s">
        <v>289</v>
      </c>
      <c r="M132" s="179" t="s">
        <v>946</v>
      </c>
      <c r="N132" s="92" t="s">
        <v>1</v>
      </c>
      <c r="O132" s="93">
        <v>45919</v>
      </c>
      <c r="P132" s="92" t="s">
        <v>275</v>
      </c>
      <c r="R132" s="103"/>
      <c r="S132" s="111">
        <v>172163.7</v>
      </c>
      <c r="T132" s="130">
        <v>387153.49</v>
      </c>
      <c r="U132" s="92" t="s">
        <v>67</v>
      </c>
      <c r="V132" s="88"/>
      <c r="W132" s="89"/>
      <c r="X132" s="98">
        <v>5584.8</v>
      </c>
      <c r="Y132" s="98">
        <v>1590</v>
      </c>
      <c r="Z132" s="98"/>
      <c r="AA132" s="98">
        <v>5262</v>
      </c>
      <c r="AB132" s="98">
        <v>1160</v>
      </c>
      <c r="AC132" s="98">
        <v>117625.2</v>
      </c>
      <c r="AD132" s="98">
        <v>12289.2</v>
      </c>
      <c r="AE132" s="98">
        <v>5674.8</v>
      </c>
      <c r="AF132" s="98"/>
      <c r="AG132" s="98">
        <v>12143.6</v>
      </c>
      <c r="AH132" s="98">
        <v>136</v>
      </c>
      <c r="AI132" s="98">
        <v>10050</v>
      </c>
      <c r="AJ132" s="98">
        <v>648.1</v>
      </c>
      <c r="AK132" s="233">
        <f t="shared" si="8"/>
        <v>172163.7</v>
      </c>
      <c r="AL132" s="110">
        <f t="shared" si="7"/>
        <v>0</v>
      </c>
    </row>
    <row r="133" spans="1:38" s="101" customFormat="1" ht="24.9" customHeight="1" x14ac:dyDescent="0.3">
      <c r="A133" s="82">
        <v>132</v>
      </c>
      <c r="B133" s="92" t="s">
        <v>0</v>
      </c>
      <c r="C133" s="92" t="s">
        <v>0</v>
      </c>
      <c r="D133" s="102" t="s">
        <v>1101</v>
      </c>
      <c r="E133" s="102" t="s">
        <v>863</v>
      </c>
      <c r="F133" s="102" t="s">
        <v>983</v>
      </c>
      <c r="G133" s="83">
        <v>133</v>
      </c>
      <c r="H133" s="84">
        <v>45322</v>
      </c>
      <c r="I133" s="84">
        <v>45961</v>
      </c>
      <c r="J133" s="85">
        <v>45809</v>
      </c>
      <c r="K133" s="85">
        <v>45900</v>
      </c>
      <c r="L133" s="83" t="s">
        <v>295</v>
      </c>
      <c r="M133" s="91" t="s">
        <v>286</v>
      </c>
      <c r="N133" s="92" t="s">
        <v>1</v>
      </c>
      <c r="O133" s="93">
        <v>45919</v>
      </c>
      <c r="P133" s="82" t="s">
        <v>2</v>
      </c>
      <c r="Q133" s="82" t="s">
        <v>166</v>
      </c>
      <c r="R133" s="103"/>
      <c r="S133" s="322">
        <v>580000</v>
      </c>
      <c r="T133" s="130">
        <v>580000</v>
      </c>
      <c r="U133" s="92" t="s">
        <v>67</v>
      </c>
      <c r="V133" s="88"/>
      <c r="W133" s="89"/>
      <c r="X133" s="98"/>
      <c r="Y133" s="98"/>
      <c r="Z133" s="98"/>
      <c r="AA133" s="98"/>
      <c r="AB133" s="98"/>
      <c r="AC133" s="98">
        <v>580000</v>
      </c>
      <c r="AD133" s="98"/>
      <c r="AE133" s="98"/>
      <c r="AF133" s="98"/>
      <c r="AG133" s="98"/>
      <c r="AH133" s="98"/>
      <c r="AI133" s="98"/>
      <c r="AJ133" s="98"/>
      <c r="AK133" s="233">
        <f t="shared" si="8"/>
        <v>580000</v>
      </c>
      <c r="AL133" s="110">
        <f t="shared" si="7"/>
        <v>0</v>
      </c>
    </row>
    <row r="134" spans="1:38" s="101" customFormat="1" ht="24.9" customHeight="1" x14ac:dyDescent="0.3">
      <c r="A134" s="82">
        <v>133</v>
      </c>
      <c r="B134" s="92" t="s">
        <v>0</v>
      </c>
      <c r="C134" s="92" t="s">
        <v>0</v>
      </c>
      <c r="D134" s="102" t="s">
        <v>1144</v>
      </c>
      <c r="E134" s="102" t="s">
        <v>770</v>
      </c>
      <c r="F134" s="136"/>
      <c r="G134" s="83"/>
      <c r="H134" s="84"/>
      <c r="I134" s="84"/>
      <c r="J134" s="85"/>
      <c r="K134" s="85"/>
      <c r="L134" s="83"/>
      <c r="M134" s="91"/>
      <c r="N134" s="92"/>
      <c r="O134" s="93"/>
      <c r="P134" s="82"/>
      <c r="Q134" s="82"/>
      <c r="R134" s="103"/>
      <c r="S134" s="322">
        <v>250032.01</v>
      </c>
      <c r="T134" s="108">
        <v>273882.01</v>
      </c>
      <c r="U134" s="92"/>
      <c r="V134" s="88"/>
      <c r="W134" s="89"/>
      <c r="X134" s="98"/>
      <c r="Y134" s="98"/>
      <c r="Z134" s="98"/>
      <c r="AA134" s="98"/>
      <c r="AB134" s="98"/>
      <c r="AC134" s="98"/>
      <c r="AD134" s="98"/>
      <c r="AE134" s="98"/>
      <c r="AF134" s="98"/>
      <c r="AG134" s="98"/>
      <c r="AH134" s="98"/>
      <c r="AI134" s="98"/>
      <c r="AJ134" s="98"/>
      <c r="AK134" s="233"/>
      <c r="AL134" s="110"/>
    </row>
    <row r="135" spans="1:38" s="101" customFormat="1" ht="24.9" customHeight="1" x14ac:dyDescent="0.3">
      <c r="A135" s="82">
        <v>134</v>
      </c>
      <c r="B135" s="92" t="s">
        <v>0</v>
      </c>
      <c r="C135" s="92" t="s">
        <v>0</v>
      </c>
      <c r="D135" s="102" t="s">
        <v>1145</v>
      </c>
      <c r="E135" s="102" t="s">
        <v>770</v>
      </c>
      <c r="F135" s="102" t="s">
        <v>426</v>
      </c>
      <c r="G135" s="83">
        <v>83</v>
      </c>
      <c r="H135" s="84">
        <v>44287</v>
      </c>
      <c r="I135" s="84">
        <v>46660</v>
      </c>
      <c r="J135" s="85">
        <v>45748</v>
      </c>
      <c r="K135" s="85">
        <v>45838</v>
      </c>
      <c r="L135" s="83" t="s">
        <v>295</v>
      </c>
      <c r="M135" s="86" t="s">
        <v>679</v>
      </c>
      <c r="N135" s="92" t="s">
        <v>1</v>
      </c>
      <c r="O135" s="93">
        <v>45919</v>
      </c>
      <c r="P135" s="82" t="s">
        <v>2</v>
      </c>
      <c r="Q135" s="82" t="s">
        <v>166</v>
      </c>
      <c r="R135" s="103"/>
      <c r="S135" s="321">
        <v>23850</v>
      </c>
      <c r="T135" s="108">
        <v>273882.01</v>
      </c>
      <c r="U135" s="92" t="s">
        <v>67</v>
      </c>
      <c r="V135" s="88"/>
      <c r="W135" s="89"/>
      <c r="X135" s="81"/>
      <c r="Y135" s="81"/>
      <c r="Z135" s="81"/>
      <c r="AA135" s="81">
        <f>2700+140.65</f>
        <v>2840.65</v>
      </c>
      <c r="AB135" s="81"/>
      <c r="AC135" s="81">
        <f>4950+97759.68</f>
        <v>102709.68</v>
      </c>
      <c r="AD135" s="81">
        <f>15750+110752.06</f>
        <v>126502.06</v>
      </c>
      <c r="AE135" s="81">
        <v>5541.87</v>
      </c>
      <c r="AF135" s="81"/>
      <c r="AG135" s="81"/>
      <c r="AH135" s="81"/>
      <c r="AI135" s="81">
        <f>450+35837.75</f>
        <v>36287.75</v>
      </c>
      <c r="AJ135" s="81"/>
      <c r="AK135" s="233">
        <f t="shared" si="8"/>
        <v>273882.01</v>
      </c>
      <c r="AL135" s="110">
        <f t="shared" si="7"/>
        <v>-250032.01</v>
      </c>
    </row>
    <row r="136" spans="1:38" s="101" customFormat="1" ht="24.9" hidden="1" customHeight="1" x14ac:dyDescent="0.3">
      <c r="A136" s="82">
        <v>135</v>
      </c>
      <c r="B136" s="92" t="s">
        <v>117</v>
      </c>
      <c r="C136" s="92" t="s">
        <v>116</v>
      </c>
      <c r="D136" s="102" t="s">
        <v>1103</v>
      </c>
      <c r="E136" s="58"/>
      <c r="F136" s="102" t="s">
        <v>1104</v>
      </c>
      <c r="G136" s="83">
        <v>561</v>
      </c>
      <c r="H136" s="84">
        <v>45231</v>
      </c>
      <c r="I136" s="84">
        <v>45961</v>
      </c>
      <c r="J136" s="85">
        <v>45597</v>
      </c>
      <c r="K136" s="85">
        <v>45688</v>
      </c>
      <c r="L136" s="83" t="s">
        <v>295</v>
      </c>
      <c r="M136" s="106" t="s">
        <v>784</v>
      </c>
      <c r="N136" s="92" t="s">
        <v>1</v>
      </c>
      <c r="O136" s="93">
        <v>45919</v>
      </c>
      <c r="P136" s="92" t="s">
        <v>275</v>
      </c>
      <c r="R136" s="103"/>
      <c r="S136" s="111">
        <v>5309.7</v>
      </c>
      <c r="T136" s="130">
        <v>5309.7</v>
      </c>
      <c r="U136" s="92" t="s">
        <v>67</v>
      </c>
      <c r="V136" s="88"/>
      <c r="W136" s="109" t="s">
        <v>891</v>
      </c>
      <c r="X136" s="98">
        <v>46.2</v>
      </c>
      <c r="Y136" s="98"/>
      <c r="Z136" s="98"/>
      <c r="AA136" s="98">
        <v>18</v>
      </c>
      <c r="AB136" s="98"/>
      <c r="AC136" s="98">
        <v>1676.4</v>
      </c>
      <c r="AD136" s="98">
        <v>845.7</v>
      </c>
      <c r="AE136" s="98">
        <v>57.9</v>
      </c>
      <c r="AF136" s="98">
        <v>1.2</v>
      </c>
      <c r="AG136" s="98">
        <v>2192.4</v>
      </c>
      <c r="AH136" s="98">
        <v>295.8</v>
      </c>
      <c r="AI136" s="98">
        <v>176.1</v>
      </c>
      <c r="AJ136" s="98"/>
      <c r="AK136" s="233">
        <f t="shared" si="8"/>
        <v>5309.7000000000007</v>
      </c>
      <c r="AL136" s="110">
        <f t="shared" si="7"/>
        <v>0</v>
      </c>
    </row>
    <row r="137" spans="1:38" s="101" customFormat="1" ht="24.9" hidden="1" customHeight="1" x14ac:dyDescent="0.3">
      <c r="A137" s="82">
        <v>136</v>
      </c>
      <c r="B137" s="92" t="s">
        <v>17</v>
      </c>
      <c r="C137" s="92" t="s">
        <v>17</v>
      </c>
      <c r="D137" s="102" t="s">
        <v>1102</v>
      </c>
      <c r="E137" s="58"/>
      <c r="F137" s="102" t="s">
        <v>1111</v>
      </c>
      <c r="G137" s="83">
        <v>221</v>
      </c>
      <c r="H137" s="84">
        <v>43647</v>
      </c>
      <c r="I137" s="84">
        <v>46752</v>
      </c>
      <c r="J137" s="85">
        <v>45474</v>
      </c>
      <c r="K137" s="85">
        <v>45838</v>
      </c>
      <c r="L137" s="94" t="s">
        <v>289</v>
      </c>
      <c r="M137" s="95" t="s">
        <v>288</v>
      </c>
      <c r="N137" s="92" t="s">
        <v>1</v>
      </c>
      <c r="O137" s="93">
        <v>45922</v>
      </c>
      <c r="P137" s="92" t="s">
        <v>135</v>
      </c>
      <c r="R137" s="103"/>
      <c r="S137" s="319">
        <v>1174625.23</v>
      </c>
      <c r="T137" s="108">
        <v>1174625.23</v>
      </c>
      <c r="U137" s="92" t="s">
        <v>67</v>
      </c>
      <c r="V137" s="88"/>
      <c r="W137" s="89" t="s">
        <v>1115</v>
      </c>
      <c r="X137" s="98">
        <v>6988.71</v>
      </c>
      <c r="Y137" s="98">
        <v>651.02</v>
      </c>
      <c r="Z137" s="98"/>
      <c r="AA137" s="98">
        <v>29770.31</v>
      </c>
      <c r="AB137" s="98">
        <v>196.02</v>
      </c>
      <c r="AC137" s="98">
        <v>669842.97</v>
      </c>
      <c r="AD137" s="98">
        <v>106649.01</v>
      </c>
      <c r="AE137" s="98">
        <v>45305.57</v>
      </c>
      <c r="AF137" s="98">
        <v>9685.09</v>
      </c>
      <c r="AG137" s="98">
        <v>179968.37</v>
      </c>
      <c r="AH137" s="98">
        <v>7306.25</v>
      </c>
      <c r="AI137" s="98">
        <v>118261.91</v>
      </c>
      <c r="AJ137" s="98"/>
      <c r="AK137" s="233">
        <f t="shared" si="8"/>
        <v>1174625.2299999997</v>
      </c>
      <c r="AL137" s="110">
        <f t="shared" si="7"/>
        <v>0</v>
      </c>
    </row>
    <row r="138" spans="1:38" s="101" customFormat="1" ht="24.9" customHeight="1" x14ac:dyDescent="0.3">
      <c r="A138" s="82">
        <v>137</v>
      </c>
      <c r="B138" s="82" t="s">
        <v>0</v>
      </c>
      <c r="C138" s="82" t="s">
        <v>0</v>
      </c>
      <c r="D138" s="102" t="s">
        <v>1109</v>
      </c>
      <c r="E138" s="102" t="s">
        <v>778</v>
      </c>
      <c r="F138" s="102" t="s">
        <v>429</v>
      </c>
      <c r="G138" s="83">
        <v>84</v>
      </c>
      <c r="H138" s="84">
        <v>44044</v>
      </c>
      <c r="I138" s="84">
        <v>46290</v>
      </c>
      <c r="J138" s="85">
        <v>45627</v>
      </c>
      <c r="K138" s="85">
        <v>45716</v>
      </c>
      <c r="L138" s="94" t="s">
        <v>295</v>
      </c>
      <c r="M138" s="86" t="s">
        <v>428</v>
      </c>
      <c r="N138" s="82" t="s">
        <v>1</v>
      </c>
      <c r="O138" s="87">
        <v>45926</v>
      </c>
      <c r="P138" s="82" t="s">
        <v>2</v>
      </c>
      <c r="Q138" s="82" t="s">
        <v>168</v>
      </c>
      <c r="R138" s="103"/>
      <c r="S138" s="323">
        <v>380000</v>
      </c>
      <c r="T138" s="122">
        <v>380000</v>
      </c>
      <c r="U138" s="92" t="s">
        <v>67</v>
      </c>
      <c r="V138" s="88"/>
      <c r="W138" s="104"/>
      <c r="X138" s="105"/>
      <c r="Y138" s="105"/>
      <c r="Z138" s="105"/>
      <c r="AA138" s="105"/>
      <c r="AB138" s="105"/>
      <c r="AC138" s="81">
        <f>152000*2</f>
        <v>304000</v>
      </c>
      <c r="AD138" s="81">
        <f>38000*2</f>
        <v>76000</v>
      </c>
      <c r="AE138" s="105"/>
      <c r="AF138" s="105"/>
      <c r="AG138" s="105"/>
      <c r="AH138" s="105"/>
      <c r="AI138" s="105"/>
      <c r="AJ138" s="105"/>
      <c r="AK138" s="233">
        <f>SUM(X138:AJ138)</f>
        <v>380000</v>
      </c>
      <c r="AL138" s="110">
        <f>S138-AK138</f>
        <v>0</v>
      </c>
    </row>
    <row r="139" spans="1:38" s="101" customFormat="1" ht="24.9" hidden="1" customHeight="1" x14ac:dyDescent="0.3">
      <c r="A139" s="82">
        <v>138</v>
      </c>
      <c r="B139" s="82" t="s">
        <v>237</v>
      </c>
      <c r="C139" s="82" t="s">
        <v>237</v>
      </c>
      <c r="D139" s="102" t="s">
        <v>1116</v>
      </c>
      <c r="E139" s="102" t="s">
        <v>815</v>
      </c>
      <c r="F139" s="102" t="s">
        <v>975</v>
      </c>
      <c r="G139" s="83">
        <v>529</v>
      </c>
      <c r="H139" s="84">
        <v>44743</v>
      </c>
      <c r="I139" s="84">
        <v>46022</v>
      </c>
      <c r="J139" s="85">
        <v>45870</v>
      </c>
      <c r="K139" s="85">
        <v>45900</v>
      </c>
      <c r="L139" s="83" t="s">
        <v>337</v>
      </c>
      <c r="M139" s="86" t="s">
        <v>793</v>
      </c>
      <c r="N139" s="92" t="s">
        <v>1</v>
      </c>
      <c r="O139" s="93">
        <v>45926</v>
      </c>
      <c r="P139" s="92" t="s">
        <v>92</v>
      </c>
      <c r="R139" s="103"/>
      <c r="S139" s="97">
        <v>4261.17</v>
      </c>
      <c r="T139" s="122">
        <v>4261.17</v>
      </c>
      <c r="U139" s="92" t="s">
        <v>67</v>
      </c>
      <c r="V139" s="92" t="s">
        <v>27</v>
      </c>
      <c r="W139" s="104"/>
      <c r="X139" s="105">
        <v>8.16</v>
      </c>
      <c r="Y139" s="105">
        <v>55.34</v>
      </c>
      <c r="Z139" s="105">
        <v>60.66</v>
      </c>
      <c r="AA139" s="105">
        <v>284.32</v>
      </c>
      <c r="AB139" s="105">
        <v>37.76</v>
      </c>
      <c r="AC139" s="105">
        <v>1939.79</v>
      </c>
      <c r="AD139" s="105">
        <v>550.77</v>
      </c>
      <c r="AE139" s="105">
        <v>261.56</v>
      </c>
      <c r="AF139" s="105">
        <v>92.23</v>
      </c>
      <c r="AG139" s="105">
        <v>633.27</v>
      </c>
      <c r="AH139" s="105">
        <v>61.45</v>
      </c>
      <c r="AI139" s="105">
        <v>252.04</v>
      </c>
      <c r="AJ139" s="105">
        <v>23.82</v>
      </c>
      <c r="AK139" s="233">
        <f>SUM(X139:AJ139)</f>
        <v>4261.1699999999992</v>
      </c>
      <c r="AL139" s="110">
        <f>S139-AK139</f>
        <v>0</v>
      </c>
    </row>
    <row r="140" spans="1:38" s="101" customFormat="1" ht="24.9" hidden="1" customHeight="1" x14ac:dyDescent="0.3">
      <c r="A140" s="82">
        <v>139</v>
      </c>
      <c r="B140" s="92" t="s">
        <v>248</v>
      </c>
      <c r="C140" s="82" t="s">
        <v>114</v>
      </c>
      <c r="D140" s="102" t="s">
        <v>1138</v>
      </c>
      <c r="E140" s="58" t="s">
        <v>786</v>
      </c>
      <c r="F140" s="102" t="s">
        <v>329</v>
      </c>
      <c r="G140" s="83">
        <v>32</v>
      </c>
      <c r="H140" s="84">
        <v>43067</v>
      </c>
      <c r="I140" s="84">
        <v>45989</v>
      </c>
      <c r="J140" s="84">
        <v>45658</v>
      </c>
      <c r="K140" s="84">
        <v>45747</v>
      </c>
      <c r="L140" s="94" t="s">
        <v>295</v>
      </c>
      <c r="M140" s="86" t="s">
        <v>327</v>
      </c>
      <c r="N140" s="92" t="s">
        <v>1</v>
      </c>
      <c r="O140" s="87">
        <v>45929</v>
      </c>
      <c r="P140" s="82" t="s">
        <v>92</v>
      </c>
      <c r="R140" s="103"/>
      <c r="S140" s="268">
        <v>37500</v>
      </c>
      <c r="T140" s="122"/>
      <c r="U140" s="92" t="s">
        <v>191</v>
      </c>
      <c r="V140" s="88"/>
      <c r="W140" s="104"/>
      <c r="X140" s="105"/>
      <c r="Y140" s="105"/>
      <c r="Z140" s="105"/>
      <c r="AA140" s="105"/>
      <c r="AB140" s="105"/>
      <c r="AC140" s="81"/>
      <c r="AD140" s="81"/>
      <c r="AE140" s="105"/>
      <c r="AF140" s="105"/>
      <c r="AG140" s="105"/>
      <c r="AH140" s="105"/>
      <c r="AI140" s="105"/>
      <c r="AJ140" s="105"/>
      <c r="AK140" s="233"/>
      <c r="AL140" s="110"/>
    </row>
    <row r="141" spans="1:38" s="40" customFormat="1" ht="24.9" hidden="1" customHeight="1" x14ac:dyDescent="0.3">
      <c r="A141" s="82">
        <v>140</v>
      </c>
      <c r="B141" s="82" t="s">
        <v>149</v>
      </c>
      <c r="C141" s="82" t="s">
        <v>152</v>
      </c>
      <c r="D141" s="102" t="s">
        <v>1153</v>
      </c>
      <c r="E141" s="82"/>
      <c r="F141" s="102" t="s">
        <v>1153</v>
      </c>
      <c r="G141" s="83">
        <v>30</v>
      </c>
      <c r="H141" s="84">
        <v>45597</v>
      </c>
      <c r="I141" s="84">
        <v>47422</v>
      </c>
      <c r="J141" s="85">
        <v>45505</v>
      </c>
      <c r="K141" s="85">
        <v>45869</v>
      </c>
      <c r="L141" s="94" t="s">
        <v>289</v>
      </c>
      <c r="M141" s="86" t="s">
        <v>282</v>
      </c>
      <c r="N141" s="82" t="s">
        <v>1</v>
      </c>
      <c r="O141" s="87">
        <v>45932</v>
      </c>
      <c r="P141" s="82" t="s">
        <v>92</v>
      </c>
      <c r="R141" s="338"/>
      <c r="S141" s="338"/>
      <c r="T141" s="127">
        <v>127351.62</v>
      </c>
      <c r="U141" s="40" t="s">
        <v>191</v>
      </c>
      <c r="V141" s="339"/>
      <c r="W141" s="337"/>
      <c r="X141" s="124">
        <v>14706.27</v>
      </c>
      <c r="Y141" s="124">
        <v>39417.79</v>
      </c>
      <c r="Z141" s="124"/>
      <c r="AA141" s="124">
        <v>2540.11</v>
      </c>
      <c r="AB141" s="124"/>
      <c r="AC141" s="124">
        <v>42137.83</v>
      </c>
      <c r="AD141" s="124">
        <v>10715.36</v>
      </c>
      <c r="AE141" s="124">
        <v>2852.85</v>
      </c>
      <c r="AF141" s="124"/>
      <c r="AG141" s="124">
        <v>8842.2900000000009</v>
      </c>
      <c r="AH141" s="124">
        <v>1712.65</v>
      </c>
      <c r="AI141" s="124">
        <v>4427.4799999999996</v>
      </c>
      <c r="AJ141" s="340"/>
      <c r="AK141" s="124">
        <f>SUM(X141:AJ141)</f>
        <v>127352.62999999999</v>
      </c>
      <c r="AL141" s="124">
        <f>S141-AK141</f>
        <v>-127352.62999999999</v>
      </c>
    </row>
    <row r="142" spans="1:38" s="101" customFormat="1" ht="24.9" hidden="1" customHeight="1" x14ac:dyDescent="0.3">
      <c r="A142" s="82">
        <v>141</v>
      </c>
      <c r="B142" s="40" t="s">
        <v>30</v>
      </c>
      <c r="C142" s="82" t="s">
        <v>30</v>
      </c>
      <c r="D142" s="102" t="s">
        <v>1119</v>
      </c>
      <c r="E142" s="82"/>
      <c r="F142" s="341" t="s">
        <v>1156</v>
      </c>
      <c r="G142" s="83">
        <v>244</v>
      </c>
      <c r="H142" s="84">
        <v>42061</v>
      </c>
      <c r="I142" s="84">
        <v>46446</v>
      </c>
      <c r="J142" s="85">
        <v>45717</v>
      </c>
      <c r="K142" s="85">
        <v>45808</v>
      </c>
      <c r="L142" s="94" t="s">
        <v>295</v>
      </c>
      <c r="M142" s="86" t="s">
        <v>380</v>
      </c>
      <c r="N142" s="40" t="s">
        <v>1</v>
      </c>
      <c r="O142" s="87">
        <v>45933</v>
      </c>
      <c r="P142" s="82" t="s">
        <v>2</v>
      </c>
      <c r="Q142" s="82" t="s">
        <v>168</v>
      </c>
      <c r="R142" s="103"/>
      <c r="S142" s="268">
        <v>6296.85</v>
      </c>
      <c r="T142" s="394">
        <v>17546.849999999999</v>
      </c>
      <c r="U142" s="92" t="s">
        <v>191</v>
      </c>
      <c r="V142" s="88"/>
      <c r="W142" s="104"/>
      <c r="X142" s="105"/>
      <c r="Y142" s="105"/>
      <c r="Z142" s="105"/>
      <c r="AA142" s="105"/>
      <c r="AB142" s="105"/>
      <c r="AC142" s="271">
        <v>6296.85</v>
      </c>
      <c r="AD142" s="81"/>
      <c r="AE142" s="105"/>
      <c r="AF142" s="105"/>
      <c r="AG142" s="105"/>
      <c r="AH142" s="105"/>
      <c r="AI142" s="105"/>
      <c r="AJ142" s="105"/>
      <c r="AK142" s="124">
        <f t="shared" ref="AK142:AK164" si="9">SUM(X142:AJ142)</f>
        <v>6296.85</v>
      </c>
      <c r="AL142" s="124">
        <f t="shared" ref="AL142:AL164" si="10">S142-AK142</f>
        <v>0</v>
      </c>
    </row>
    <row r="143" spans="1:38" s="330" customFormat="1" ht="24.9" hidden="1" customHeight="1" x14ac:dyDescent="0.3">
      <c r="A143" s="328">
        <v>142</v>
      </c>
      <c r="B143" s="327" t="s">
        <v>30</v>
      </c>
      <c r="C143" s="328" t="s">
        <v>30</v>
      </c>
      <c r="D143" s="329" t="s">
        <v>1120</v>
      </c>
      <c r="E143" s="328"/>
      <c r="F143" s="331" t="s">
        <v>1151</v>
      </c>
      <c r="G143" s="330" t="s">
        <v>1152</v>
      </c>
      <c r="H143" s="332">
        <v>45108</v>
      </c>
      <c r="I143" s="332">
        <v>46446</v>
      </c>
      <c r="J143" s="372">
        <v>45566</v>
      </c>
      <c r="K143" s="372">
        <v>45657</v>
      </c>
      <c r="L143" s="329" t="s">
        <v>295</v>
      </c>
      <c r="M143" s="328" t="s">
        <v>374</v>
      </c>
      <c r="N143" s="327" t="s">
        <v>1</v>
      </c>
      <c r="O143" s="332">
        <v>45933</v>
      </c>
      <c r="P143" s="328" t="s">
        <v>2</v>
      </c>
      <c r="Q143" s="328" t="s">
        <v>168</v>
      </c>
      <c r="R143" s="333"/>
      <c r="S143" s="334">
        <v>11250</v>
      </c>
      <c r="T143" s="395">
        <v>17546.849999999999</v>
      </c>
      <c r="U143" s="328" t="s">
        <v>191</v>
      </c>
      <c r="W143" s="331"/>
      <c r="X143" s="335"/>
      <c r="Y143" s="335"/>
      <c r="Z143" s="335"/>
      <c r="AA143" s="335"/>
      <c r="AB143" s="335"/>
      <c r="AC143" s="334">
        <v>11250</v>
      </c>
      <c r="AD143" s="336"/>
      <c r="AE143" s="335"/>
      <c r="AF143" s="335"/>
      <c r="AG143" s="335"/>
      <c r="AH143" s="335"/>
      <c r="AI143" s="335"/>
      <c r="AJ143" s="335"/>
      <c r="AK143" s="124">
        <f t="shared" si="9"/>
        <v>11250</v>
      </c>
      <c r="AL143" s="124">
        <f t="shared" si="10"/>
        <v>0</v>
      </c>
    </row>
    <row r="144" spans="1:38" s="88" customFormat="1" ht="24.9" hidden="1" customHeight="1" x14ac:dyDescent="0.3">
      <c r="A144" s="92">
        <v>143</v>
      </c>
      <c r="B144" s="339" t="s">
        <v>185</v>
      </c>
      <c r="C144" s="92" t="s">
        <v>185</v>
      </c>
      <c r="D144" s="109" t="s">
        <v>1134</v>
      </c>
      <c r="E144" s="92"/>
      <c r="F144" s="42"/>
      <c r="G144" s="382"/>
      <c r="H144" s="382"/>
      <c r="I144" s="382"/>
      <c r="J144" s="85">
        <v>45809</v>
      </c>
      <c r="K144" s="85">
        <v>45900</v>
      </c>
      <c r="L144" s="383"/>
      <c r="M144" s="92" t="s">
        <v>1133</v>
      </c>
      <c r="N144" s="339" t="s">
        <v>5</v>
      </c>
      <c r="O144" s="93">
        <v>45933</v>
      </c>
      <c r="P144" s="92"/>
      <c r="R144" s="96"/>
      <c r="S144" s="271">
        <v>197394.43</v>
      </c>
      <c r="T144" s="394">
        <v>197394.43</v>
      </c>
      <c r="U144" s="92" t="s">
        <v>191</v>
      </c>
      <c r="W144" s="89"/>
      <c r="X144" s="98"/>
      <c r="Y144" s="98"/>
      <c r="Z144" s="98"/>
      <c r="AA144" s="98"/>
      <c r="AB144" s="98"/>
      <c r="AC144" s="365"/>
      <c r="AD144" s="365"/>
      <c r="AE144" s="365"/>
      <c r="AF144" s="365"/>
      <c r="AG144" s="365"/>
      <c r="AH144" s="365"/>
      <c r="AI144" s="365"/>
      <c r="AJ144" s="365"/>
      <c r="AK144" s="124">
        <f t="shared" si="9"/>
        <v>0</v>
      </c>
      <c r="AL144" s="124">
        <f t="shared" si="10"/>
        <v>197394.43</v>
      </c>
    </row>
    <row r="145" spans="1:39" s="88" customFormat="1" ht="24.9" hidden="1" customHeight="1" x14ac:dyDescent="0.3">
      <c r="A145" s="92">
        <v>144</v>
      </c>
      <c r="B145" s="339" t="s">
        <v>185</v>
      </c>
      <c r="C145" s="92" t="s">
        <v>185</v>
      </c>
      <c r="D145" s="109" t="s">
        <v>1135</v>
      </c>
      <c r="E145" s="92"/>
      <c r="F145" s="42"/>
      <c r="G145" s="382"/>
      <c r="H145" s="382"/>
      <c r="I145" s="382"/>
      <c r="J145" s="85">
        <v>45809</v>
      </c>
      <c r="K145" s="85">
        <v>45900</v>
      </c>
      <c r="L145" s="383"/>
      <c r="M145" s="92" t="s">
        <v>1133</v>
      </c>
      <c r="N145" s="339" t="s">
        <v>5</v>
      </c>
      <c r="O145" s="93">
        <v>45933</v>
      </c>
      <c r="P145" s="92"/>
      <c r="R145" s="96"/>
      <c r="S145" s="271">
        <v>296091.65000000002</v>
      </c>
      <c r="T145" s="394">
        <v>296091.65000000002</v>
      </c>
      <c r="U145" s="92" t="s">
        <v>191</v>
      </c>
      <c r="W145" s="89"/>
      <c r="X145" s="98"/>
      <c r="Y145" s="98"/>
      <c r="Z145" s="98"/>
      <c r="AA145" s="98"/>
      <c r="AB145" s="98"/>
      <c r="AC145" s="271"/>
      <c r="AD145" s="365"/>
      <c r="AE145" s="98"/>
      <c r="AF145" s="98"/>
      <c r="AG145" s="98"/>
      <c r="AH145" s="98"/>
      <c r="AI145" s="98"/>
      <c r="AJ145" s="98"/>
      <c r="AK145" s="124">
        <f t="shared" si="9"/>
        <v>0</v>
      </c>
      <c r="AL145" s="124">
        <f t="shared" si="10"/>
        <v>296091.65000000002</v>
      </c>
    </row>
    <row r="146" spans="1:39" s="101" customFormat="1" ht="24.9" customHeight="1" x14ac:dyDescent="0.3">
      <c r="A146" s="82">
        <v>145</v>
      </c>
      <c r="B146" s="82" t="s">
        <v>0</v>
      </c>
      <c r="C146" s="82" t="s">
        <v>0</v>
      </c>
      <c r="D146" s="102" t="s">
        <v>1118</v>
      </c>
      <c r="E146" s="102" t="s">
        <v>779</v>
      </c>
      <c r="F146" s="231" t="s">
        <v>424</v>
      </c>
      <c r="G146" s="83">
        <v>80</v>
      </c>
      <c r="H146" s="84">
        <v>41699</v>
      </c>
      <c r="I146" s="84">
        <v>46418</v>
      </c>
      <c r="J146" s="85">
        <v>45689</v>
      </c>
      <c r="K146" s="85">
        <v>45869</v>
      </c>
      <c r="L146" s="94" t="s">
        <v>872</v>
      </c>
      <c r="M146" s="86" t="s">
        <v>423</v>
      </c>
      <c r="N146" s="40" t="s">
        <v>1</v>
      </c>
      <c r="O146" s="87">
        <v>45933</v>
      </c>
      <c r="P146" s="82" t="s">
        <v>2</v>
      </c>
      <c r="Q146" s="82" t="s">
        <v>168</v>
      </c>
      <c r="R146" s="103"/>
      <c r="S146" s="323">
        <v>73200</v>
      </c>
      <c r="T146" s="394">
        <v>73200</v>
      </c>
      <c r="U146" s="92" t="s">
        <v>191</v>
      </c>
      <c r="V146" s="88"/>
      <c r="W146" s="104"/>
      <c r="X146" s="105"/>
      <c r="Y146" s="105"/>
      <c r="Z146" s="105"/>
      <c r="AA146" s="105"/>
      <c r="AB146" s="105"/>
      <c r="AC146" s="81">
        <v>44600</v>
      </c>
      <c r="AD146" s="81">
        <v>15000</v>
      </c>
      <c r="AE146" s="81">
        <v>2000</v>
      </c>
      <c r="AF146" s="81"/>
      <c r="AG146" s="81"/>
      <c r="AH146" s="81"/>
      <c r="AI146" s="81">
        <v>11600</v>
      </c>
      <c r="AJ146" s="105"/>
      <c r="AK146" s="124">
        <f t="shared" si="9"/>
        <v>73200</v>
      </c>
      <c r="AL146" s="124">
        <f t="shared" si="10"/>
        <v>0</v>
      </c>
    </row>
    <row r="147" spans="1:39" s="67" customFormat="1" ht="24.9" hidden="1" customHeight="1" x14ac:dyDescent="0.3">
      <c r="A147" s="82">
        <v>146</v>
      </c>
      <c r="B147" s="82" t="s">
        <v>17</v>
      </c>
      <c r="C147" s="82" t="s">
        <v>17</v>
      </c>
      <c r="D147" s="102" t="s">
        <v>1131</v>
      </c>
      <c r="E147" s="20"/>
      <c r="F147" s="102" t="s">
        <v>1149</v>
      </c>
      <c r="G147" s="83">
        <v>12</v>
      </c>
      <c r="H147" s="84">
        <v>41852</v>
      </c>
      <c r="I147" s="84">
        <v>46599</v>
      </c>
      <c r="J147" s="85">
        <v>45682</v>
      </c>
      <c r="K147" s="85">
        <v>45772</v>
      </c>
      <c r="L147" s="85" t="s">
        <v>295</v>
      </c>
      <c r="M147" s="86" t="s">
        <v>310</v>
      </c>
      <c r="N147" s="40" t="s">
        <v>1</v>
      </c>
      <c r="O147" s="87">
        <v>45936</v>
      </c>
      <c r="P147" s="92" t="s">
        <v>2</v>
      </c>
      <c r="Q147" s="82" t="s">
        <v>168</v>
      </c>
      <c r="R147" s="39"/>
      <c r="S147" s="321">
        <v>113293.59</v>
      </c>
      <c r="T147" s="122">
        <v>139168.59</v>
      </c>
      <c r="U147" s="92" t="s">
        <v>191</v>
      </c>
      <c r="V147" s="42"/>
      <c r="W147" s="43"/>
      <c r="X147" s="81"/>
      <c r="Y147" s="81"/>
      <c r="Z147" s="81"/>
      <c r="AA147" s="81"/>
      <c r="AB147" s="81"/>
      <c r="AC147" s="81">
        <v>113293.59</v>
      </c>
      <c r="AD147" s="81"/>
      <c r="AE147" s="81"/>
      <c r="AF147" s="81"/>
      <c r="AG147" s="81"/>
      <c r="AH147" s="81"/>
      <c r="AI147" s="81"/>
      <c r="AJ147" s="81"/>
      <c r="AK147" s="124">
        <f t="shared" si="9"/>
        <v>113293.59</v>
      </c>
      <c r="AL147" s="124">
        <f t="shared" si="10"/>
        <v>0</v>
      </c>
    </row>
    <row r="148" spans="1:39" s="410" customFormat="1" ht="24.9" hidden="1" customHeight="1" x14ac:dyDescent="0.3">
      <c r="A148" s="82">
        <v>147</v>
      </c>
      <c r="B148" s="82" t="s">
        <v>17</v>
      </c>
      <c r="C148" s="82" t="s">
        <v>17</v>
      </c>
      <c r="D148" s="82" t="s">
        <v>1132</v>
      </c>
      <c r="E148" s="20"/>
      <c r="F148" s="326" t="s">
        <v>1150</v>
      </c>
      <c r="G148" s="83">
        <v>17</v>
      </c>
      <c r="H148" s="84">
        <v>43452</v>
      </c>
      <c r="I148" s="84">
        <v>46387</v>
      </c>
      <c r="J148" s="85">
        <v>45773</v>
      </c>
      <c r="K148" s="85">
        <v>45863</v>
      </c>
      <c r="L148" s="85" t="s">
        <v>295</v>
      </c>
      <c r="M148" s="86" t="s">
        <v>310</v>
      </c>
      <c r="N148" s="82" t="s">
        <v>1</v>
      </c>
      <c r="O148" s="87">
        <v>45936</v>
      </c>
      <c r="P148" s="92" t="s">
        <v>2</v>
      </c>
      <c r="Q148" s="82" t="s">
        <v>168</v>
      </c>
      <c r="R148" s="103"/>
      <c r="S148" s="321">
        <v>25875</v>
      </c>
      <c r="T148" s="122">
        <v>139168.59</v>
      </c>
      <c r="U148" s="92" t="s">
        <v>191</v>
      </c>
      <c r="V148" s="88"/>
      <c r="W148" s="104"/>
      <c r="X148" s="105"/>
      <c r="Y148" s="105"/>
      <c r="Z148" s="105"/>
      <c r="AA148" s="105"/>
      <c r="AB148" s="105"/>
      <c r="AC148" s="105">
        <v>25200</v>
      </c>
      <c r="AD148" s="105">
        <v>450</v>
      </c>
      <c r="AE148" s="105"/>
      <c r="AF148" s="105"/>
      <c r="AG148" s="105">
        <v>225</v>
      </c>
      <c r="AH148" s="105"/>
      <c r="AI148" s="105"/>
      <c r="AJ148" s="105"/>
      <c r="AK148" s="124">
        <f t="shared" si="9"/>
        <v>25875</v>
      </c>
      <c r="AL148" s="124">
        <f t="shared" si="10"/>
        <v>0</v>
      </c>
    </row>
    <row r="149" spans="1:39" s="392" customFormat="1" ht="24.9" hidden="1" customHeight="1" x14ac:dyDescent="0.3">
      <c r="A149" s="92">
        <v>148</v>
      </c>
      <c r="B149" s="328" t="s">
        <v>1199</v>
      </c>
      <c r="C149" s="328" t="s">
        <v>1199</v>
      </c>
      <c r="D149" s="328" t="s">
        <v>1200</v>
      </c>
      <c r="E149" s="388"/>
      <c r="F149" s="328" t="s">
        <v>1200</v>
      </c>
      <c r="G149" s="328"/>
      <c r="H149" s="332"/>
      <c r="I149" s="332"/>
      <c r="J149" s="372"/>
      <c r="K149" s="372"/>
      <c r="L149" s="372" t="s">
        <v>289</v>
      </c>
      <c r="M149" s="393"/>
      <c r="N149" s="327" t="s">
        <v>1</v>
      </c>
      <c r="O149" s="332">
        <v>45938</v>
      </c>
      <c r="P149" s="328"/>
      <c r="Q149" s="328"/>
      <c r="R149" s="334"/>
      <c r="S149" s="334">
        <v>395650.5</v>
      </c>
      <c r="T149" s="396">
        <v>395650.5</v>
      </c>
      <c r="U149" s="328" t="s">
        <v>191</v>
      </c>
      <c r="V149" s="388"/>
      <c r="W149" s="390"/>
      <c r="X149" s="336"/>
      <c r="Y149" s="336"/>
      <c r="Z149" s="336"/>
      <c r="AA149" s="336"/>
      <c r="AB149" s="336"/>
      <c r="AC149" s="336">
        <v>395650.5</v>
      </c>
      <c r="AD149" s="336"/>
      <c r="AE149" s="336"/>
      <c r="AF149" s="336"/>
      <c r="AG149" s="336"/>
      <c r="AH149" s="336"/>
      <c r="AI149" s="336"/>
      <c r="AJ149" s="336"/>
      <c r="AK149" s="391"/>
      <c r="AL149" s="391"/>
    </row>
    <row r="150" spans="1:39" s="67" customFormat="1" ht="24.9" hidden="1" customHeight="1" x14ac:dyDescent="0.3">
      <c r="A150" s="82">
        <v>149</v>
      </c>
      <c r="B150" s="82" t="s">
        <v>17</v>
      </c>
      <c r="C150" s="82" t="s">
        <v>17</v>
      </c>
      <c r="D150" s="82" t="s">
        <v>1154</v>
      </c>
      <c r="E150" s="20"/>
      <c r="F150" s="102" t="s">
        <v>1155</v>
      </c>
      <c r="G150" s="83">
        <v>12</v>
      </c>
      <c r="H150" s="84">
        <v>41852</v>
      </c>
      <c r="I150" s="84">
        <v>46599</v>
      </c>
      <c r="J150" s="85">
        <v>45773</v>
      </c>
      <c r="K150" s="85">
        <v>45863</v>
      </c>
      <c r="L150" s="83" t="s">
        <v>295</v>
      </c>
      <c r="M150" s="86" t="s">
        <v>305</v>
      </c>
      <c r="N150" s="92" t="s">
        <v>1</v>
      </c>
      <c r="O150" s="87">
        <v>45944</v>
      </c>
      <c r="P150" s="82" t="s">
        <v>2</v>
      </c>
      <c r="Q150" s="82" t="s">
        <v>166</v>
      </c>
      <c r="R150" s="39"/>
      <c r="S150" s="322">
        <v>80500</v>
      </c>
      <c r="T150" s="130">
        <v>80500</v>
      </c>
      <c r="U150" s="92" t="s">
        <v>191</v>
      </c>
      <c r="V150" s="42"/>
      <c r="W150" s="43"/>
      <c r="X150" s="81"/>
      <c r="Y150" s="81"/>
      <c r="Z150" s="81"/>
      <c r="AA150" s="81"/>
      <c r="AB150" s="81"/>
      <c r="AC150" s="81">
        <v>80500</v>
      </c>
      <c r="AD150" s="81"/>
      <c r="AE150" s="81"/>
      <c r="AF150" s="81"/>
      <c r="AG150" s="81"/>
      <c r="AH150" s="81"/>
      <c r="AI150" s="81"/>
      <c r="AJ150" s="81"/>
      <c r="AK150" s="124">
        <f t="shared" si="9"/>
        <v>80500</v>
      </c>
      <c r="AL150" s="124">
        <f t="shared" si="10"/>
        <v>0</v>
      </c>
    </row>
    <row r="151" spans="1:39" ht="24.9" hidden="1" customHeight="1" x14ac:dyDescent="0.3">
      <c r="A151" s="82">
        <v>150</v>
      </c>
      <c r="B151" s="82" t="s">
        <v>30</v>
      </c>
      <c r="C151" s="82" t="s">
        <v>30</v>
      </c>
      <c r="D151" s="102" t="s">
        <v>1163</v>
      </c>
      <c r="F151" s="411" t="s">
        <v>1105</v>
      </c>
      <c r="G151" s="83"/>
      <c r="H151" s="84">
        <v>44252</v>
      </c>
      <c r="I151" s="84">
        <v>47118</v>
      </c>
      <c r="J151" s="85">
        <v>45839</v>
      </c>
      <c r="K151" s="85">
        <v>45930</v>
      </c>
      <c r="L151" s="83" t="s">
        <v>295</v>
      </c>
      <c r="M151" s="86" t="s">
        <v>386</v>
      </c>
      <c r="N151" s="92" t="s">
        <v>1</v>
      </c>
      <c r="O151" s="87">
        <v>45946</v>
      </c>
      <c r="P151" s="82" t="s">
        <v>2</v>
      </c>
      <c r="Q151" s="82" t="s">
        <v>168</v>
      </c>
      <c r="S151" s="322">
        <v>19200</v>
      </c>
      <c r="T151" s="130">
        <v>19200</v>
      </c>
      <c r="U151" s="92" t="s">
        <v>191</v>
      </c>
      <c r="AC151" s="81">
        <v>8000</v>
      </c>
      <c r="AD151" s="81">
        <v>6400</v>
      </c>
      <c r="AE151" s="81">
        <v>1600</v>
      </c>
      <c r="AI151" s="81">
        <v>3200</v>
      </c>
      <c r="AK151" s="124">
        <f t="shared" si="9"/>
        <v>19200</v>
      </c>
      <c r="AL151" s="124">
        <f t="shared" si="10"/>
        <v>0</v>
      </c>
    </row>
    <row r="152" spans="1:39" ht="24.9" customHeight="1" x14ac:dyDescent="0.3">
      <c r="A152" s="82">
        <v>151</v>
      </c>
      <c r="B152" s="82" t="s">
        <v>0</v>
      </c>
      <c r="C152" s="82" t="s">
        <v>0</v>
      </c>
      <c r="D152" s="102" t="s">
        <v>1158</v>
      </c>
      <c r="F152" s="102" t="s">
        <v>1159</v>
      </c>
      <c r="G152" s="83">
        <v>133</v>
      </c>
      <c r="H152" s="84">
        <v>45322</v>
      </c>
      <c r="I152" s="84">
        <v>45961</v>
      </c>
      <c r="J152" s="85">
        <v>45839</v>
      </c>
      <c r="K152" s="85">
        <v>45930</v>
      </c>
      <c r="L152" s="83" t="s">
        <v>295</v>
      </c>
      <c r="M152" s="91" t="s">
        <v>286</v>
      </c>
      <c r="N152" s="92" t="s">
        <v>1</v>
      </c>
      <c r="O152" s="87">
        <v>45947</v>
      </c>
      <c r="P152" s="82" t="s">
        <v>2</v>
      </c>
      <c r="Q152" s="82" t="s">
        <v>168</v>
      </c>
      <c r="S152" s="322">
        <v>422000</v>
      </c>
      <c r="T152" s="130">
        <v>422000</v>
      </c>
      <c r="U152" s="92" t="s">
        <v>191</v>
      </c>
      <c r="AD152" s="105">
        <v>422000</v>
      </c>
      <c r="AK152" s="124">
        <f t="shared" si="9"/>
        <v>422000</v>
      </c>
      <c r="AL152" s="124">
        <f t="shared" si="10"/>
        <v>0</v>
      </c>
    </row>
    <row r="153" spans="1:39" s="392" customFormat="1" ht="24.75" hidden="1" customHeight="1" x14ac:dyDescent="0.3">
      <c r="A153" s="82">
        <v>152</v>
      </c>
      <c r="B153" s="328" t="s">
        <v>108</v>
      </c>
      <c r="C153" s="328" t="s">
        <v>108</v>
      </c>
      <c r="D153" s="329" t="s">
        <v>1194</v>
      </c>
      <c r="E153" s="388"/>
      <c r="F153" s="329" t="s">
        <v>1192</v>
      </c>
      <c r="G153" s="328"/>
      <c r="H153" s="332"/>
      <c r="I153" s="332"/>
      <c r="J153" s="372"/>
      <c r="K153" s="372"/>
      <c r="L153" s="328" t="s">
        <v>289</v>
      </c>
      <c r="M153" s="389"/>
      <c r="N153" s="328" t="s">
        <v>1</v>
      </c>
      <c r="O153" s="332">
        <v>45950</v>
      </c>
      <c r="P153" s="328" t="s">
        <v>275</v>
      </c>
      <c r="Q153" s="328"/>
      <c r="R153" s="334"/>
      <c r="S153" s="111">
        <v>79220.600000000006</v>
      </c>
      <c r="T153" s="397">
        <v>79220.600000000006</v>
      </c>
      <c r="U153" s="328" t="s">
        <v>191</v>
      </c>
      <c r="V153" s="388"/>
      <c r="W153" s="390" t="s">
        <v>1193</v>
      </c>
      <c r="X153" s="336">
        <v>461.73</v>
      </c>
      <c r="Y153" s="336">
        <v>2625.07</v>
      </c>
      <c r="Z153" s="336"/>
      <c r="AA153" s="336">
        <v>6673.44</v>
      </c>
      <c r="AB153" s="336">
        <v>556.73</v>
      </c>
      <c r="AC153" s="336">
        <v>30319.45</v>
      </c>
      <c r="AD153" s="335">
        <v>13439.91</v>
      </c>
      <c r="AE153" s="336">
        <v>8882.01</v>
      </c>
      <c r="AF153" s="336"/>
      <c r="AG153" s="336">
        <v>12585.68</v>
      </c>
      <c r="AH153" s="336">
        <v>649.94000000000005</v>
      </c>
      <c r="AI153" s="336">
        <v>2541.12</v>
      </c>
      <c r="AJ153" s="336">
        <v>485.52</v>
      </c>
      <c r="AK153" s="391">
        <f t="shared" si="9"/>
        <v>79220.600000000006</v>
      </c>
      <c r="AL153" s="391">
        <f t="shared" si="10"/>
        <v>0</v>
      </c>
    </row>
    <row r="154" spans="1:39" s="392" customFormat="1" ht="24.75" hidden="1" customHeight="1" x14ac:dyDescent="0.3">
      <c r="A154" s="82">
        <v>153</v>
      </c>
      <c r="B154" s="328" t="s">
        <v>117</v>
      </c>
      <c r="C154" s="328" t="s">
        <v>116</v>
      </c>
      <c r="D154" s="329" t="s">
        <v>1198</v>
      </c>
      <c r="E154" s="388"/>
      <c r="F154" s="329" t="s">
        <v>997</v>
      </c>
      <c r="G154" s="328">
        <v>436</v>
      </c>
      <c r="H154" s="332">
        <v>45231</v>
      </c>
      <c r="I154" s="332">
        <v>46326</v>
      </c>
      <c r="J154" s="372">
        <v>45839</v>
      </c>
      <c r="K154" s="372">
        <v>45930</v>
      </c>
      <c r="L154" s="328" t="s">
        <v>295</v>
      </c>
      <c r="M154" s="328" t="s">
        <v>996</v>
      </c>
      <c r="N154" s="328" t="s">
        <v>1</v>
      </c>
      <c r="O154" s="332">
        <v>45954</v>
      </c>
      <c r="P154" s="328" t="s">
        <v>135</v>
      </c>
      <c r="Q154" s="328"/>
      <c r="R154" s="334"/>
      <c r="S154" s="111">
        <v>1.66</v>
      </c>
      <c r="T154" s="397">
        <v>1.66</v>
      </c>
      <c r="U154" s="328" t="s">
        <v>191</v>
      </c>
      <c r="V154" s="388"/>
      <c r="W154" s="390"/>
      <c r="X154" s="336"/>
      <c r="Y154" s="336"/>
      <c r="Z154" s="336"/>
      <c r="AA154" s="336"/>
      <c r="AB154" s="336"/>
      <c r="AC154" s="336">
        <v>1.66</v>
      </c>
      <c r="AD154" s="335"/>
      <c r="AE154" s="336"/>
      <c r="AF154" s="336"/>
      <c r="AG154" s="336"/>
      <c r="AH154" s="336"/>
      <c r="AI154" s="336"/>
      <c r="AJ154" s="336"/>
      <c r="AK154" s="391"/>
      <c r="AL154" s="391"/>
    </row>
    <row r="155" spans="1:39" ht="24.9" hidden="1" customHeight="1" x14ac:dyDescent="0.3">
      <c r="A155" s="82">
        <v>154</v>
      </c>
      <c r="B155" s="82" t="s">
        <v>237</v>
      </c>
      <c r="C155" s="82" t="s">
        <v>237</v>
      </c>
      <c r="D155" s="102" t="s">
        <v>1173</v>
      </c>
      <c r="E155" s="102" t="s">
        <v>975</v>
      </c>
      <c r="F155" s="102" t="s">
        <v>975</v>
      </c>
      <c r="G155" s="83">
        <v>529</v>
      </c>
      <c r="H155" s="84">
        <v>44743</v>
      </c>
      <c r="I155" s="84">
        <v>46022</v>
      </c>
      <c r="J155" s="85">
        <v>45901</v>
      </c>
      <c r="K155" s="85">
        <v>45930</v>
      </c>
      <c r="L155" s="83" t="s">
        <v>337</v>
      </c>
      <c r="M155" s="86" t="s">
        <v>793</v>
      </c>
      <c r="N155" s="92" t="s">
        <v>1</v>
      </c>
      <c r="O155" s="87">
        <v>45957</v>
      </c>
      <c r="P155" s="82" t="s">
        <v>92</v>
      </c>
      <c r="Q155" s="82"/>
      <c r="S155" s="111">
        <v>4414.1400000000003</v>
      </c>
      <c r="T155" s="130">
        <v>4414.1400000000003</v>
      </c>
      <c r="U155" s="92" t="s">
        <v>191</v>
      </c>
      <c r="V155" s="92" t="s">
        <v>27</v>
      </c>
      <c r="X155" s="105">
        <v>9.2100000000000009</v>
      </c>
      <c r="Y155" s="105">
        <v>34.6</v>
      </c>
      <c r="Z155" s="105">
        <v>54.3</v>
      </c>
      <c r="AA155" s="105">
        <v>274.95999999999998</v>
      </c>
      <c r="AB155" s="105">
        <v>15.02</v>
      </c>
      <c r="AC155" s="105">
        <v>2089.64</v>
      </c>
      <c r="AD155" s="105">
        <v>466.77</v>
      </c>
      <c r="AE155" s="105">
        <v>248</v>
      </c>
      <c r="AF155" s="105">
        <v>114.55</v>
      </c>
      <c r="AG155" s="105">
        <v>789.92</v>
      </c>
      <c r="AH155" s="105">
        <v>49.5</v>
      </c>
      <c r="AI155" s="105">
        <v>248.31</v>
      </c>
      <c r="AJ155" s="105">
        <v>19.36</v>
      </c>
      <c r="AK155" s="124">
        <f t="shared" si="9"/>
        <v>4414.1400000000003</v>
      </c>
      <c r="AL155" s="124">
        <f t="shared" si="10"/>
        <v>0</v>
      </c>
    </row>
    <row r="156" spans="1:39" ht="27.6" hidden="1" x14ac:dyDescent="0.3">
      <c r="A156" s="82">
        <v>155</v>
      </c>
      <c r="B156" s="82" t="s">
        <v>124</v>
      </c>
      <c r="C156" s="82" t="s">
        <v>124</v>
      </c>
      <c r="D156" s="102" t="s">
        <v>843</v>
      </c>
      <c r="E156" s="231" t="s">
        <v>495</v>
      </c>
      <c r="F156" s="231" t="s">
        <v>495</v>
      </c>
      <c r="G156" s="83">
        <v>106</v>
      </c>
      <c r="H156" s="84">
        <v>43617</v>
      </c>
      <c r="I156" s="84">
        <v>47239</v>
      </c>
      <c r="J156" s="85">
        <v>45748</v>
      </c>
      <c r="K156" s="85">
        <v>45838</v>
      </c>
      <c r="L156" s="94" t="s">
        <v>295</v>
      </c>
      <c r="M156" s="86" t="s">
        <v>281</v>
      </c>
      <c r="N156" s="92" t="s">
        <v>1</v>
      </c>
      <c r="O156" s="87">
        <v>45958</v>
      </c>
      <c r="P156" s="92" t="s">
        <v>275</v>
      </c>
      <c r="S156" s="97">
        <v>30060.39</v>
      </c>
      <c r="T156" s="122">
        <v>30060.39</v>
      </c>
      <c r="U156" s="92" t="s">
        <v>191</v>
      </c>
      <c r="Y156" s="105"/>
      <c r="Z156" s="105"/>
      <c r="AA156" s="105">
        <v>311.64</v>
      </c>
      <c r="AB156" s="105"/>
      <c r="AC156" s="105">
        <v>14217.87</v>
      </c>
      <c r="AD156" s="105">
        <v>4717.82</v>
      </c>
      <c r="AE156" s="105">
        <v>1887.81</v>
      </c>
      <c r="AF156" s="105"/>
      <c r="AG156" s="105">
        <v>4510.1000000000004</v>
      </c>
      <c r="AH156" s="105"/>
      <c r="AI156" s="105">
        <v>4415.1499999999996</v>
      </c>
      <c r="AJ156" s="105"/>
      <c r="AK156" s="124">
        <f t="shared" si="9"/>
        <v>30060.390000000007</v>
      </c>
      <c r="AL156" s="124">
        <f t="shared" si="10"/>
        <v>0</v>
      </c>
    </row>
    <row r="157" spans="1:39" ht="24.9" hidden="1" customHeight="1" x14ac:dyDescent="0.3">
      <c r="A157" s="82">
        <v>156</v>
      </c>
      <c r="B157" s="82" t="s">
        <v>107</v>
      </c>
      <c r="C157" s="82" t="s">
        <v>107</v>
      </c>
      <c r="D157" s="102" t="s">
        <v>1177</v>
      </c>
      <c r="E157" s="231"/>
      <c r="F157" s="231" t="s">
        <v>505</v>
      </c>
      <c r="G157" s="83">
        <v>113</v>
      </c>
      <c r="H157" s="84">
        <v>44699</v>
      </c>
      <c r="I157" s="84">
        <v>46524</v>
      </c>
      <c r="J157" s="85">
        <v>45839</v>
      </c>
      <c r="K157" s="85">
        <v>46524</v>
      </c>
      <c r="L157" s="83" t="s">
        <v>295</v>
      </c>
      <c r="M157" s="86" t="s">
        <v>502</v>
      </c>
      <c r="N157" s="92" t="s">
        <v>1</v>
      </c>
      <c r="O157" s="87">
        <v>45958</v>
      </c>
      <c r="P157" s="92" t="s">
        <v>275</v>
      </c>
      <c r="S157" s="363">
        <v>71610</v>
      </c>
      <c r="T157" s="108">
        <v>952674.21</v>
      </c>
      <c r="U157" s="92" t="s">
        <v>191</v>
      </c>
      <c r="X157" s="365"/>
      <c r="Y157" s="98"/>
      <c r="Z157" s="98"/>
      <c r="AA157" s="98"/>
      <c r="AB157" s="98"/>
      <c r="AC157" s="362">
        <v>71610</v>
      </c>
      <c r="AD157" s="98"/>
      <c r="AE157" s="98"/>
      <c r="AF157" s="98"/>
      <c r="AG157" s="98"/>
      <c r="AH157" s="98"/>
      <c r="AI157" s="98"/>
      <c r="AJ157" s="98"/>
      <c r="AK157" s="124">
        <f t="shared" si="9"/>
        <v>71610</v>
      </c>
      <c r="AL157" s="124">
        <f t="shared" si="10"/>
        <v>0</v>
      </c>
      <c r="AM157" s="366"/>
    </row>
    <row r="158" spans="1:39" ht="24.9" hidden="1" customHeight="1" x14ac:dyDescent="0.3">
      <c r="A158" s="82">
        <v>157</v>
      </c>
      <c r="B158" s="82" t="s">
        <v>107</v>
      </c>
      <c r="C158" s="82" t="s">
        <v>107</v>
      </c>
      <c r="D158" s="134" t="s">
        <v>1178</v>
      </c>
      <c r="E158" s="231"/>
      <c r="F158" s="231" t="s">
        <v>503</v>
      </c>
      <c r="G158" s="83">
        <v>248</v>
      </c>
      <c r="H158" s="84">
        <v>44699</v>
      </c>
      <c r="I158" s="84">
        <v>46524</v>
      </c>
      <c r="J158" s="85">
        <v>45839</v>
      </c>
      <c r="K158" s="85">
        <v>46524</v>
      </c>
      <c r="L158" s="83" t="s">
        <v>295</v>
      </c>
      <c r="M158" s="112" t="s">
        <v>502</v>
      </c>
      <c r="N158" s="92" t="s">
        <v>1</v>
      </c>
      <c r="O158" s="87">
        <v>45958</v>
      </c>
      <c r="P158" s="92" t="s">
        <v>275</v>
      </c>
      <c r="S158" s="363">
        <v>628407.98</v>
      </c>
      <c r="T158" s="108">
        <v>952674.21</v>
      </c>
      <c r="U158" s="92" t="s">
        <v>191</v>
      </c>
      <c r="X158" s="81">
        <v>2140.7399999999998</v>
      </c>
      <c r="Y158" s="105">
        <v>19505.96</v>
      </c>
      <c r="Z158" s="105">
        <v>1023.03</v>
      </c>
      <c r="AA158" s="105">
        <v>24770.67</v>
      </c>
      <c r="AB158" s="105">
        <v>29152.89</v>
      </c>
      <c r="AC158" s="105">
        <v>299759.18</v>
      </c>
      <c r="AD158" s="105">
        <v>66209.78</v>
      </c>
      <c r="AE158" s="105">
        <v>34668.58</v>
      </c>
      <c r="AF158" s="105">
        <v>10310.41</v>
      </c>
      <c r="AG158" s="105">
        <v>83563.63</v>
      </c>
      <c r="AH158" s="105">
        <v>7379.53</v>
      </c>
      <c r="AI158" s="105">
        <v>44312.42</v>
      </c>
      <c r="AJ158" s="105">
        <v>5611.16</v>
      </c>
      <c r="AK158" s="124">
        <f t="shared" si="9"/>
        <v>628407.9800000001</v>
      </c>
      <c r="AL158" s="124">
        <f t="shared" si="10"/>
        <v>0</v>
      </c>
    </row>
    <row r="159" spans="1:39" ht="24.9" hidden="1" customHeight="1" x14ac:dyDescent="0.3">
      <c r="A159" s="82">
        <v>158</v>
      </c>
      <c r="B159" s="82" t="s">
        <v>107</v>
      </c>
      <c r="C159" s="82" t="s">
        <v>107</v>
      </c>
      <c r="D159" s="102" t="s">
        <v>1179</v>
      </c>
      <c r="E159" s="231"/>
      <c r="F159" s="231" t="s">
        <v>503</v>
      </c>
      <c r="G159" s="83">
        <v>109</v>
      </c>
      <c r="H159" s="84">
        <v>44699</v>
      </c>
      <c r="I159" s="84">
        <v>46524</v>
      </c>
      <c r="J159" s="85">
        <v>45839</v>
      </c>
      <c r="K159" s="85">
        <v>46524</v>
      </c>
      <c r="L159" s="83" t="s">
        <v>295</v>
      </c>
      <c r="M159" s="86" t="s">
        <v>502</v>
      </c>
      <c r="N159" s="92" t="s">
        <v>1</v>
      </c>
      <c r="O159" s="87">
        <v>45958</v>
      </c>
      <c r="P159" s="92" t="s">
        <v>275</v>
      </c>
      <c r="S159" s="363">
        <v>113875.21</v>
      </c>
      <c r="T159" s="108">
        <v>952674.21</v>
      </c>
      <c r="U159" s="92" t="s">
        <v>191</v>
      </c>
      <c r="Y159" s="105">
        <v>615.17999999999995</v>
      </c>
      <c r="Z159" s="105"/>
      <c r="AA159" s="105">
        <v>1408.7</v>
      </c>
      <c r="AB159" s="105">
        <v>351.72</v>
      </c>
      <c r="AC159" s="105">
        <v>68561.87</v>
      </c>
      <c r="AD159" s="105">
        <v>7224.95</v>
      </c>
      <c r="AE159" s="105">
        <v>4920.01</v>
      </c>
      <c r="AF159" s="105">
        <v>2715.24</v>
      </c>
      <c r="AG159" s="105">
        <v>13776.11</v>
      </c>
      <c r="AH159" s="105">
        <v>2413.27</v>
      </c>
      <c r="AI159" s="105">
        <v>11398.76</v>
      </c>
      <c r="AJ159" s="105">
        <v>489.4</v>
      </c>
      <c r="AK159" s="124">
        <f t="shared" si="9"/>
        <v>113875.20999999999</v>
      </c>
      <c r="AL159" s="124">
        <f t="shared" si="10"/>
        <v>0</v>
      </c>
    </row>
    <row r="160" spans="1:39" ht="24.9" hidden="1" customHeight="1" x14ac:dyDescent="0.3">
      <c r="A160" s="82">
        <v>159</v>
      </c>
      <c r="B160" s="82" t="s">
        <v>107</v>
      </c>
      <c r="C160" s="82" t="s">
        <v>107</v>
      </c>
      <c r="D160" s="102" t="s">
        <v>1180</v>
      </c>
      <c r="E160" s="231"/>
      <c r="F160" s="231" t="s">
        <v>503</v>
      </c>
      <c r="G160" s="83">
        <v>193</v>
      </c>
      <c r="H160" s="84">
        <v>44699</v>
      </c>
      <c r="I160" s="84">
        <v>46524</v>
      </c>
      <c r="J160" s="85">
        <v>45839</v>
      </c>
      <c r="K160" s="85">
        <v>46524</v>
      </c>
      <c r="L160" s="83" t="s">
        <v>295</v>
      </c>
      <c r="M160" s="86" t="s">
        <v>502</v>
      </c>
      <c r="N160" s="92" t="s">
        <v>1</v>
      </c>
      <c r="O160" s="87">
        <v>45958</v>
      </c>
      <c r="P160" s="92" t="s">
        <v>275</v>
      </c>
      <c r="S160" s="363">
        <v>35817.81</v>
      </c>
      <c r="T160" s="108">
        <v>952674.21</v>
      </c>
      <c r="U160" s="92" t="s">
        <v>191</v>
      </c>
      <c r="X160" s="81">
        <v>-7481.57</v>
      </c>
      <c r="Y160" s="105">
        <v>2794.15</v>
      </c>
      <c r="Z160" s="105">
        <v>-62.25</v>
      </c>
      <c r="AA160" s="105">
        <v>2614.0300000000002</v>
      </c>
      <c r="AB160" s="105">
        <v>1724.22</v>
      </c>
      <c r="AC160" s="105">
        <v>30802.240000000002</v>
      </c>
      <c r="AD160" s="105">
        <v>4074.95</v>
      </c>
      <c r="AE160" s="105">
        <v>-1440.54</v>
      </c>
      <c r="AF160" s="105">
        <v>659.63</v>
      </c>
      <c r="AG160" s="105">
        <v>6485.79</v>
      </c>
      <c r="AH160" s="105">
        <v>-899.04</v>
      </c>
      <c r="AI160" s="105">
        <v>-3453.8</v>
      </c>
      <c r="AJ160" s="105"/>
      <c r="AK160" s="124">
        <f t="shared" si="9"/>
        <v>35817.81</v>
      </c>
      <c r="AL160" s="124">
        <f t="shared" si="10"/>
        <v>0</v>
      </c>
    </row>
    <row r="161" spans="1:38" ht="24.9" hidden="1" customHeight="1" x14ac:dyDescent="0.3">
      <c r="A161" s="82">
        <v>160</v>
      </c>
      <c r="B161" s="82" t="s">
        <v>107</v>
      </c>
      <c r="C161" s="82" t="s">
        <v>107</v>
      </c>
      <c r="D161" s="102" t="s">
        <v>1181</v>
      </c>
      <c r="E161" s="231"/>
      <c r="F161" s="231" t="s">
        <v>514</v>
      </c>
      <c r="G161" s="83">
        <v>116</v>
      </c>
      <c r="H161" s="84">
        <v>44508</v>
      </c>
      <c r="I161" s="84">
        <v>46022</v>
      </c>
      <c r="J161" s="85">
        <v>45839</v>
      </c>
      <c r="K161" s="85">
        <v>46022</v>
      </c>
      <c r="L161" s="83" t="s">
        <v>295</v>
      </c>
      <c r="M161" s="86" t="s">
        <v>513</v>
      </c>
      <c r="N161" s="92" t="s">
        <v>1</v>
      </c>
      <c r="O161" s="87">
        <v>45958</v>
      </c>
      <c r="P161" s="92" t="s">
        <v>275</v>
      </c>
      <c r="S161" s="364">
        <v>14972.69</v>
      </c>
      <c r="T161" s="108">
        <v>952674.21</v>
      </c>
      <c r="U161" s="92" t="s">
        <v>191</v>
      </c>
      <c r="Y161" s="105"/>
      <c r="Z161" s="105">
        <v>19.079999999999998</v>
      </c>
      <c r="AA161" s="105">
        <v>2093.6999999999998</v>
      </c>
      <c r="AB161" s="105"/>
      <c r="AC161" s="105">
        <v>3835.8</v>
      </c>
      <c r="AD161" s="105">
        <v>1844.77</v>
      </c>
      <c r="AE161" s="105">
        <v>954</v>
      </c>
      <c r="AF161" s="105">
        <v>9.5399999999999991</v>
      </c>
      <c r="AG161" s="105">
        <v>4201.2700000000004</v>
      </c>
      <c r="AH161" s="105">
        <v>22.26</v>
      </c>
      <c r="AI161" s="105">
        <v>1992.27</v>
      </c>
      <c r="AJ161" s="105"/>
      <c r="AK161" s="124">
        <f t="shared" si="9"/>
        <v>14972.690000000002</v>
      </c>
      <c r="AL161" s="124">
        <f t="shared" si="10"/>
        <v>0</v>
      </c>
    </row>
    <row r="162" spans="1:38" ht="24.9" hidden="1" customHeight="1" x14ac:dyDescent="0.3">
      <c r="A162" s="82">
        <v>161</v>
      </c>
      <c r="B162" s="82" t="s">
        <v>107</v>
      </c>
      <c r="C162" s="82" t="s">
        <v>107</v>
      </c>
      <c r="D162" s="102" t="s">
        <v>1182</v>
      </c>
      <c r="E162" s="231"/>
      <c r="F162" s="231" t="s">
        <v>511</v>
      </c>
      <c r="G162" s="83">
        <v>115</v>
      </c>
      <c r="H162" s="84">
        <v>45002</v>
      </c>
      <c r="I162" s="100">
        <v>45930</v>
      </c>
      <c r="J162" s="85">
        <v>45839</v>
      </c>
      <c r="K162" s="85">
        <v>46235</v>
      </c>
      <c r="L162" s="83" t="s">
        <v>295</v>
      </c>
      <c r="M162" s="86" t="s">
        <v>510</v>
      </c>
      <c r="N162" s="92" t="s">
        <v>1</v>
      </c>
      <c r="O162" s="87">
        <v>45958</v>
      </c>
      <c r="P162" s="92" t="s">
        <v>275</v>
      </c>
      <c r="S162" s="363">
        <v>28877.27</v>
      </c>
      <c r="T162" s="108">
        <v>952674.21</v>
      </c>
      <c r="U162" s="92" t="s">
        <v>191</v>
      </c>
      <c r="Y162" s="105">
        <v>106.8</v>
      </c>
      <c r="Z162" s="105"/>
      <c r="AA162" s="105">
        <v>1597.36</v>
      </c>
      <c r="AB162" s="105">
        <v>80.09</v>
      </c>
      <c r="AC162" s="105">
        <v>13296.53</v>
      </c>
      <c r="AD162" s="105">
        <v>3326.33</v>
      </c>
      <c r="AE162" s="105">
        <v>2843.13</v>
      </c>
      <c r="AF162" s="105">
        <v>825.35</v>
      </c>
      <c r="AG162" s="105">
        <v>3064.32</v>
      </c>
      <c r="AH162" s="105">
        <v>186.87</v>
      </c>
      <c r="AI162" s="105">
        <v>3443.69</v>
      </c>
      <c r="AJ162" s="105">
        <v>106.8</v>
      </c>
      <c r="AK162" s="124">
        <f t="shared" si="9"/>
        <v>28877.269999999997</v>
      </c>
      <c r="AL162" s="124">
        <f t="shared" si="10"/>
        <v>0</v>
      </c>
    </row>
    <row r="163" spans="1:38" ht="24.9" hidden="1" customHeight="1" x14ac:dyDescent="0.3">
      <c r="A163" s="82">
        <v>162</v>
      </c>
      <c r="B163" s="82" t="s">
        <v>107</v>
      </c>
      <c r="C163" s="82" t="s">
        <v>107</v>
      </c>
      <c r="D163" s="102" t="s">
        <v>1183</v>
      </c>
      <c r="E163" s="102"/>
      <c r="F163" s="231" t="s">
        <v>508</v>
      </c>
      <c r="G163" s="83">
        <v>114</v>
      </c>
      <c r="H163" s="84">
        <v>44924</v>
      </c>
      <c r="I163" s="84">
        <v>46022</v>
      </c>
      <c r="J163" s="85">
        <v>45839</v>
      </c>
      <c r="K163" s="85">
        <v>46022</v>
      </c>
      <c r="L163" s="83" t="s">
        <v>295</v>
      </c>
      <c r="M163" s="121" t="s">
        <v>507</v>
      </c>
      <c r="N163" s="92" t="s">
        <v>1</v>
      </c>
      <c r="O163" s="87">
        <v>45958</v>
      </c>
      <c r="P163" s="92" t="s">
        <v>275</v>
      </c>
      <c r="Q163" s="82"/>
      <c r="S163" s="111">
        <v>59113.25</v>
      </c>
      <c r="T163" s="108">
        <v>952674.21</v>
      </c>
      <c r="U163" s="92" t="s">
        <v>191</v>
      </c>
      <c r="V163" s="92"/>
      <c r="X163" s="105">
        <v>260.12</v>
      </c>
      <c r="Y163" s="105">
        <v>1056.25</v>
      </c>
      <c r="Z163" s="105">
        <v>242.78</v>
      </c>
      <c r="AA163" s="105">
        <v>3140.08</v>
      </c>
      <c r="AB163" s="105">
        <v>2262.54</v>
      </c>
      <c r="AC163" s="105">
        <v>25329.79</v>
      </c>
      <c r="AD163" s="105">
        <v>6455.97</v>
      </c>
      <c r="AE163" s="105">
        <v>3329.3</v>
      </c>
      <c r="AF163" s="105">
        <v>1582.12</v>
      </c>
      <c r="AG163" s="105">
        <v>7483.9</v>
      </c>
      <c r="AH163" s="105">
        <v>625.1</v>
      </c>
      <c r="AI163" s="105">
        <v>7032.15</v>
      </c>
      <c r="AJ163" s="105">
        <v>313.14999999999998</v>
      </c>
      <c r="AK163" s="124">
        <f t="shared" si="9"/>
        <v>59113.250000000007</v>
      </c>
      <c r="AL163" s="124">
        <f t="shared" si="10"/>
        <v>0</v>
      </c>
    </row>
    <row r="164" spans="1:38" ht="24.9" hidden="1" customHeight="1" x14ac:dyDescent="0.3">
      <c r="A164" s="82">
        <v>163</v>
      </c>
      <c r="B164" s="339" t="s">
        <v>185</v>
      </c>
      <c r="C164" s="339" t="s">
        <v>185</v>
      </c>
      <c r="D164" s="102" t="s">
        <v>1187</v>
      </c>
      <c r="E164" s="102"/>
      <c r="F164" s="102" t="s">
        <v>1195</v>
      </c>
      <c r="G164" s="92"/>
      <c r="H164" s="84"/>
      <c r="I164" s="84"/>
      <c r="J164" s="85">
        <v>45536</v>
      </c>
      <c r="K164" s="84">
        <v>45900</v>
      </c>
      <c r="L164" s="84" t="s">
        <v>289</v>
      </c>
      <c r="M164" s="86"/>
      <c r="N164" s="92" t="s">
        <v>1</v>
      </c>
      <c r="O164" s="87">
        <v>45960</v>
      </c>
      <c r="P164" s="82" t="s">
        <v>275</v>
      </c>
      <c r="Q164" s="82"/>
      <c r="S164" s="384">
        <v>14331.37</v>
      </c>
      <c r="T164" s="130">
        <v>14331.37</v>
      </c>
      <c r="U164" s="92" t="s">
        <v>191</v>
      </c>
      <c r="V164" s="92"/>
      <c r="X164" s="105">
        <v>119.01</v>
      </c>
      <c r="Y164" s="105"/>
      <c r="Z164" s="105"/>
      <c r="AA164" s="105">
        <v>803.06</v>
      </c>
      <c r="AB164" s="105">
        <v>5.0199999999999996</v>
      </c>
      <c r="AC164" s="105">
        <v>8483.7099999999991</v>
      </c>
      <c r="AD164" s="105">
        <v>1805.17</v>
      </c>
      <c r="AE164" s="105">
        <v>502.06</v>
      </c>
      <c r="AF164" s="105">
        <v>84.04</v>
      </c>
      <c r="AG164" s="105">
        <v>2218.2399999999998</v>
      </c>
      <c r="AH164" s="105">
        <v>119.4</v>
      </c>
      <c r="AI164" s="105"/>
      <c r="AJ164" s="105">
        <v>191.66</v>
      </c>
      <c r="AK164" s="124">
        <f t="shared" si="9"/>
        <v>14331.369999999999</v>
      </c>
      <c r="AL164" s="124">
        <f t="shared" si="10"/>
        <v>0</v>
      </c>
    </row>
    <row r="165" spans="1:38" ht="24.9" hidden="1" customHeight="1" x14ac:dyDescent="0.3">
      <c r="A165" s="82">
        <v>164</v>
      </c>
      <c r="B165" s="339" t="s">
        <v>248</v>
      </c>
      <c r="C165" s="339" t="s">
        <v>114</v>
      </c>
      <c r="D165" s="102"/>
      <c r="E165" s="102"/>
      <c r="F165" s="102" t="s">
        <v>329</v>
      </c>
      <c r="G165" s="83">
        <v>32</v>
      </c>
      <c r="H165" s="84">
        <v>43067</v>
      </c>
      <c r="I165" s="84">
        <v>45989</v>
      </c>
      <c r="J165" s="85"/>
      <c r="K165" s="84"/>
      <c r="L165" s="94" t="s">
        <v>295</v>
      </c>
      <c r="M165" s="86" t="s">
        <v>327</v>
      </c>
      <c r="N165" s="92" t="s">
        <v>1</v>
      </c>
      <c r="O165" s="87">
        <v>45960</v>
      </c>
      <c r="P165" s="82" t="s">
        <v>92</v>
      </c>
      <c r="Q165" s="82"/>
      <c r="S165" s="384">
        <v>158079.35</v>
      </c>
      <c r="T165" s="130">
        <v>195579.35</v>
      </c>
      <c r="U165" s="92" t="s">
        <v>191</v>
      </c>
      <c r="V165" s="92"/>
      <c r="X165" s="105">
        <v>8109.78</v>
      </c>
      <c r="Y165" s="105">
        <v>10917.47</v>
      </c>
      <c r="Z165" s="105"/>
      <c r="AA165" s="105">
        <v>4597.08</v>
      </c>
      <c r="AB165" s="105"/>
      <c r="AC165" s="105">
        <v>43537.94</v>
      </c>
      <c r="AD165" s="105">
        <v>30367.94</v>
      </c>
      <c r="AE165" s="105">
        <v>5824.83</v>
      </c>
      <c r="AF165" s="105"/>
      <c r="AG165" s="105">
        <v>54724.31</v>
      </c>
      <c r="AH165" s="105"/>
      <c r="AI165" s="105"/>
      <c r="AJ165" s="105"/>
      <c r="AK165" s="124">
        <f t="shared" ref="AK165:AK174" si="11">SUM(X165:AJ165)</f>
        <v>158079.35</v>
      </c>
      <c r="AL165" s="124">
        <f t="shared" ref="AL165:AL184" si="12">S165-AK165</f>
        <v>0</v>
      </c>
    </row>
    <row r="166" spans="1:38" ht="24.9" hidden="1" customHeight="1" x14ac:dyDescent="0.3">
      <c r="A166" s="82">
        <v>165</v>
      </c>
      <c r="B166" s="339" t="s">
        <v>248</v>
      </c>
      <c r="C166" s="339" t="s">
        <v>114</v>
      </c>
      <c r="D166" s="102" t="s">
        <v>1185</v>
      </c>
      <c r="E166" s="102"/>
      <c r="F166" s="102" t="s">
        <v>329</v>
      </c>
      <c r="G166" s="83">
        <v>32</v>
      </c>
      <c r="H166" s="84">
        <v>43067</v>
      </c>
      <c r="I166" s="84">
        <v>45989</v>
      </c>
      <c r="J166" s="85"/>
      <c r="K166" s="84"/>
      <c r="L166" s="94" t="s">
        <v>295</v>
      </c>
      <c r="M166" s="86" t="s">
        <v>327</v>
      </c>
      <c r="N166" s="92" t="s">
        <v>1</v>
      </c>
      <c r="O166" s="87">
        <v>45960</v>
      </c>
      <c r="P166" s="82" t="s">
        <v>92</v>
      </c>
      <c r="Q166" s="82"/>
      <c r="S166" s="384">
        <v>37500</v>
      </c>
      <c r="T166" s="130">
        <v>195579.35</v>
      </c>
      <c r="U166" s="92" t="s">
        <v>191</v>
      </c>
      <c r="V166" s="92"/>
      <c r="X166" s="105"/>
      <c r="Y166" s="105"/>
      <c r="Z166" s="105"/>
      <c r="AA166" s="105"/>
      <c r="AB166" s="105"/>
      <c r="AC166" s="105">
        <v>37500</v>
      </c>
      <c r="AD166" s="105"/>
      <c r="AE166" s="105"/>
      <c r="AF166" s="105"/>
      <c r="AG166" s="105"/>
      <c r="AH166" s="105"/>
      <c r="AI166" s="105"/>
      <c r="AJ166" s="105"/>
      <c r="AK166" s="124">
        <f t="shared" si="11"/>
        <v>37500</v>
      </c>
      <c r="AL166" s="124">
        <f t="shared" si="12"/>
        <v>0</v>
      </c>
    </row>
    <row r="167" spans="1:38" ht="24.9" hidden="1" customHeight="1" x14ac:dyDescent="0.3">
      <c r="A167" s="82">
        <v>166</v>
      </c>
      <c r="B167" s="339" t="s">
        <v>253</v>
      </c>
      <c r="C167" s="339" t="s">
        <v>253</v>
      </c>
      <c r="D167" s="102" t="s">
        <v>1187</v>
      </c>
      <c r="E167" s="102"/>
      <c r="F167" s="102" t="s">
        <v>1196</v>
      </c>
      <c r="G167" s="92"/>
      <c r="H167" s="84"/>
      <c r="I167" s="84"/>
      <c r="J167" s="85">
        <v>45536</v>
      </c>
      <c r="K167" s="84">
        <v>45900</v>
      </c>
      <c r="L167" s="84" t="s">
        <v>289</v>
      </c>
      <c r="M167" s="86"/>
      <c r="N167" s="92"/>
      <c r="O167" s="87">
        <v>45960</v>
      </c>
      <c r="P167" s="82" t="s">
        <v>275</v>
      </c>
      <c r="Q167" s="82"/>
      <c r="S167" s="384">
        <v>9885.2800000000007</v>
      </c>
      <c r="T167" s="130">
        <v>9885.2800000000007</v>
      </c>
      <c r="U167" s="92" t="s">
        <v>191</v>
      </c>
      <c r="V167" s="92"/>
      <c r="X167" s="105">
        <f>4.74+1.19</f>
        <v>5.93</v>
      </c>
      <c r="Y167" s="105"/>
      <c r="Z167" s="105"/>
      <c r="AA167" s="105">
        <v>319.58999999999997</v>
      </c>
      <c r="AB167" s="105"/>
      <c r="AC167" s="105">
        <f>5010.39+296.76</f>
        <v>5307.1500000000005</v>
      </c>
      <c r="AD167" s="105">
        <v>1172.3900000000001</v>
      </c>
      <c r="AE167" s="105">
        <f>11.72+138.51</f>
        <v>150.22999999999999</v>
      </c>
      <c r="AF167" s="105">
        <v>604.65</v>
      </c>
      <c r="AG167" s="105">
        <v>1465.37</v>
      </c>
      <c r="AH167" s="105">
        <v>441.49</v>
      </c>
      <c r="AI167" s="105">
        <v>418.48</v>
      </c>
      <c r="AJ167" s="105"/>
      <c r="AK167" s="124">
        <f t="shared" si="11"/>
        <v>9885.2799999999988</v>
      </c>
      <c r="AL167" s="124">
        <f t="shared" si="12"/>
        <v>0</v>
      </c>
    </row>
    <row r="168" spans="1:38" ht="24.9" hidden="1" customHeight="1" x14ac:dyDescent="0.3">
      <c r="A168" s="82">
        <v>167</v>
      </c>
      <c r="B168" s="82" t="s">
        <v>10</v>
      </c>
      <c r="C168" s="82" t="s">
        <v>10</v>
      </c>
      <c r="D168" s="102" t="s">
        <v>1189</v>
      </c>
      <c r="E168" s="102"/>
      <c r="F168" s="102" t="s">
        <v>982</v>
      </c>
      <c r="G168" s="83">
        <v>101</v>
      </c>
      <c r="H168" s="84">
        <v>42881</v>
      </c>
      <c r="I168" s="84">
        <v>46112</v>
      </c>
      <c r="J168" s="85">
        <v>45839</v>
      </c>
      <c r="K168" s="84">
        <v>45930</v>
      </c>
      <c r="L168" s="84" t="s">
        <v>295</v>
      </c>
      <c r="M168" s="86" t="s">
        <v>475</v>
      </c>
      <c r="N168" s="92" t="s">
        <v>1</v>
      </c>
      <c r="O168" s="87">
        <v>45975</v>
      </c>
      <c r="P168" s="92" t="s">
        <v>2</v>
      </c>
      <c r="Q168" s="82" t="s">
        <v>168</v>
      </c>
      <c r="S168" s="384">
        <v>381750</v>
      </c>
      <c r="T168" s="130">
        <v>381750</v>
      </c>
      <c r="U168" s="92" t="s">
        <v>233</v>
      </c>
      <c r="V168" s="92"/>
      <c r="X168" s="105"/>
      <c r="Y168" s="105"/>
      <c r="Z168" s="105"/>
      <c r="AA168" s="105"/>
      <c r="AB168" s="105"/>
      <c r="AC168" s="105">
        <v>372000</v>
      </c>
      <c r="AD168" s="105">
        <v>9750</v>
      </c>
      <c r="AE168" s="105"/>
      <c r="AF168" s="105"/>
      <c r="AG168" s="105"/>
      <c r="AH168" s="105"/>
      <c r="AI168" s="105"/>
      <c r="AJ168" s="105"/>
      <c r="AK168" s="124">
        <f t="shared" si="11"/>
        <v>381750</v>
      </c>
      <c r="AL168" s="124">
        <f t="shared" si="12"/>
        <v>0</v>
      </c>
    </row>
    <row r="169" spans="1:38" ht="24.9" hidden="1" customHeight="1" x14ac:dyDescent="0.3">
      <c r="A169" s="82">
        <v>168</v>
      </c>
      <c r="B169" s="82" t="s">
        <v>121</v>
      </c>
      <c r="C169" s="82" t="s">
        <v>121</v>
      </c>
      <c r="D169" s="102" t="s">
        <v>1188</v>
      </c>
      <c r="E169" s="102"/>
      <c r="F169" s="231" t="s">
        <v>472</v>
      </c>
      <c r="G169" s="83">
        <v>100</v>
      </c>
      <c r="H169" s="84">
        <v>44967</v>
      </c>
      <c r="I169" s="84">
        <v>46022</v>
      </c>
      <c r="J169" s="84">
        <v>45748</v>
      </c>
      <c r="K169" s="84">
        <v>45838</v>
      </c>
      <c r="L169" s="83" t="s">
        <v>295</v>
      </c>
      <c r="M169" s="102" t="s">
        <v>470</v>
      </c>
      <c r="N169" s="82" t="s">
        <v>1</v>
      </c>
      <c r="O169" s="93">
        <v>45980</v>
      </c>
      <c r="P169" s="82" t="s">
        <v>92</v>
      </c>
      <c r="Q169" s="82"/>
      <c r="S169" s="384">
        <v>23679.29</v>
      </c>
      <c r="T169" s="130">
        <v>23679.29</v>
      </c>
      <c r="U169" s="92" t="s">
        <v>233</v>
      </c>
      <c r="V169" s="92"/>
      <c r="X169" s="105"/>
      <c r="Y169" s="105"/>
      <c r="Z169" s="105"/>
      <c r="AA169" s="105"/>
      <c r="AB169" s="105"/>
      <c r="AC169" s="105">
        <v>23679.29</v>
      </c>
      <c r="AD169" s="105"/>
      <c r="AE169" s="105"/>
      <c r="AF169" s="105"/>
      <c r="AG169" s="105"/>
      <c r="AH169" s="105"/>
      <c r="AI169" s="105"/>
      <c r="AJ169" s="105"/>
      <c r="AK169" s="124">
        <f t="shared" si="11"/>
        <v>23679.29</v>
      </c>
      <c r="AL169" s="124">
        <f t="shared" si="12"/>
        <v>0</v>
      </c>
    </row>
    <row r="170" spans="1:38" ht="24.9" hidden="1" customHeight="1" x14ac:dyDescent="0.3">
      <c r="A170" s="82">
        <v>169</v>
      </c>
      <c r="B170" s="82" t="s">
        <v>121</v>
      </c>
      <c r="C170" s="82" t="s">
        <v>121</v>
      </c>
      <c r="D170" s="102" t="s">
        <v>1188</v>
      </c>
      <c r="E170" s="102"/>
      <c r="F170" s="231" t="s">
        <v>472</v>
      </c>
      <c r="G170" s="83">
        <v>100</v>
      </c>
      <c r="H170" s="84">
        <v>44967</v>
      </c>
      <c r="I170" s="84">
        <v>46022</v>
      </c>
      <c r="J170" s="84">
        <v>45748</v>
      </c>
      <c r="K170" s="84">
        <v>45838</v>
      </c>
      <c r="L170" s="83" t="s">
        <v>295</v>
      </c>
      <c r="M170" s="102" t="s">
        <v>470</v>
      </c>
      <c r="N170" s="82" t="s">
        <v>1</v>
      </c>
      <c r="O170" s="93">
        <v>45980</v>
      </c>
      <c r="P170" s="82" t="s">
        <v>92</v>
      </c>
      <c r="Q170" s="82"/>
      <c r="S170" s="384">
        <v>72.209999999999994</v>
      </c>
      <c r="T170" s="130">
        <v>72.209999999999994</v>
      </c>
      <c r="U170" s="92" t="s">
        <v>233</v>
      </c>
      <c r="V170" s="92"/>
      <c r="X170" s="105"/>
      <c r="Y170" s="105"/>
      <c r="Z170" s="105"/>
      <c r="AA170" s="105"/>
      <c r="AB170" s="105"/>
      <c r="AC170" s="105"/>
      <c r="AD170" s="105"/>
      <c r="AE170" s="105">
        <v>72.209999999999994</v>
      </c>
      <c r="AF170" s="105"/>
      <c r="AG170" s="105"/>
      <c r="AH170" s="105"/>
      <c r="AI170" s="105"/>
      <c r="AJ170" s="105"/>
      <c r="AK170" s="124">
        <f t="shared" si="11"/>
        <v>72.209999999999994</v>
      </c>
      <c r="AL170" s="124">
        <f t="shared" si="12"/>
        <v>0</v>
      </c>
    </row>
    <row r="171" spans="1:38" ht="24.9" hidden="1" customHeight="1" x14ac:dyDescent="0.3">
      <c r="A171" s="82">
        <v>170</v>
      </c>
      <c r="B171" s="82" t="s">
        <v>121</v>
      </c>
      <c r="C171" s="82" t="s">
        <v>121</v>
      </c>
      <c r="D171" s="102" t="s">
        <v>1188</v>
      </c>
      <c r="E171" s="102"/>
      <c r="F171" s="231" t="s">
        <v>472</v>
      </c>
      <c r="G171" s="83">
        <v>100</v>
      </c>
      <c r="H171" s="84">
        <v>44967</v>
      </c>
      <c r="I171" s="84">
        <v>46022</v>
      </c>
      <c r="J171" s="84">
        <v>45748</v>
      </c>
      <c r="K171" s="84">
        <v>45838</v>
      </c>
      <c r="L171" s="83" t="s">
        <v>295</v>
      </c>
      <c r="M171" s="102" t="s">
        <v>470</v>
      </c>
      <c r="N171" s="82" t="s">
        <v>1</v>
      </c>
      <c r="O171" s="93">
        <v>45980</v>
      </c>
      <c r="P171" s="82" t="s">
        <v>92</v>
      </c>
      <c r="Q171" s="82"/>
      <c r="S171" s="384">
        <v>1561.72</v>
      </c>
      <c r="T171" s="130">
        <v>1561.72</v>
      </c>
      <c r="U171" s="92" t="s">
        <v>233</v>
      </c>
      <c r="V171" s="92"/>
      <c r="X171" s="105">
        <v>1561.72</v>
      </c>
      <c r="Y171" s="105"/>
      <c r="Z171" s="105"/>
      <c r="AA171" s="105"/>
      <c r="AB171" s="105"/>
      <c r="AC171" s="105"/>
      <c r="AD171" s="105"/>
      <c r="AE171" s="105"/>
      <c r="AF171" s="105"/>
      <c r="AG171" s="105"/>
      <c r="AH171" s="105"/>
      <c r="AI171" s="105"/>
      <c r="AJ171" s="105"/>
      <c r="AK171" s="124">
        <f t="shared" si="11"/>
        <v>1561.72</v>
      </c>
      <c r="AL171" s="124">
        <f t="shared" si="12"/>
        <v>0</v>
      </c>
    </row>
    <row r="172" spans="1:38" ht="24.9" hidden="1" customHeight="1" x14ac:dyDescent="0.3">
      <c r="A172" s="82">
        <v>171</v>
      </c>
      <c r="B172" s="82" t="s">
        <v>121</v>
      </c>
      <c r="C172" s="82" t="s">
        <v>121</v>
      </c>
      <c r="D172" s="102" t="s">
        <v>1188</v>
      </c>
      <c r="E172" s="102"/>
      <c r="F172" s="231" t="s">
        <v>472</v>
      </c>
      <c r="G172" s="83">
        <v>100</v>
      </c>
      <c r="H172" s="84">
        <v>44967</v>
      </c>
      <c r="I172" s="84">
        <v>46022</v>
      </c>
      <c r="J172" s="84">
        <v>45748</v>
      </c>
      <c r="K172" s="84">
        <v>45838</v>
      </c>
      <c r="L172" s="83" t="s">
        <v>295</v>
      </c>
      <c r="M172" s="102" t="s">
        <v>470</v>
      </c>
      <c r="N172" s="82" t="s">
        <v>1</v>
      </c>
      <c r="O172" s="93">
        <v>45980</v>
      </c>
      <c r="P172" s="82" t="s">
        <v>92</v>
      </c>
      <c r="Q172" s="82"/>
      <c r="S172" s="384">
        <v>160.30000000000001</v>
      </c>
      <c r="T172" s="130">
        <v>160.30000000000001</v>
      </c>
      <c r="U172" s="92" t="s">
        <v>233</v>
      </c>
      <c r="V172" s="92"/>
      <c r="X172" s="105"/>
      <c r="Y172" s="105"/>
      <c r="Z172" s="105"/>
      <c r="AA172" s="105"/>
      <c r="AB172" s="105"/>
      <c r="AC172" s="105"/>
      <c r="AD172" s="105"/>
      <c r="AE172" s="105"/>
      <c r="AF172" s="105"/>
      <c r="AG172" s="105">
        <v>160.30000000000001</v>
      </c>
      <c r="AH172" s="105"/>
      <c r="AI172" s="105"/>
      <c r="AJ172" s="105"/>
      <c r="AK172" s="124">
        <f t="shared" si="11"/>
        <v>160.30000000000001</v>
      </c>
      <c r="AL172" s="124">
        <f t="shared" si="12"/>
        <v>0</v>
      </c>
    </row>
    <row r="173" spans="1:38" ht="24.9" hidden="1" customHeight="1" x14ac:dyDescent="0.3">
      <c r="A173" s="82">
        <v>172</v>
      </c>
      <c r="B173" s="82" t="s">
        <v>237</v>
      </c>
      <c r="C173" s="82" t="s">
        <v>237</v>
      </c>
      <c r="D173" s="102" t="s">
        <v>1197</v>
      </c>
      <c r="E173" s="102" t="s">
        <v>975</v>
      </c>
      <c r="F173" s="102" t="s">
        <v>975</v>
      </c>
      <c r="G173" s="83">
        <v>529</v>
      </c>
      <c r="H173" s="84">
        <v>44743</v>
      </c>
      <c r="I173" s="84">
        <v>46022</v>
      </c>
      <c r="J173" s="85">
        <v>45931</v>
      </c>
      <c r="K173" s="85">
        <v>45961</v>
      </c>
      <c r="L173" s="83" t="s">
        <v>337</v>
      </c>
      <c r="M173" s="86" t="s">
        <v>793</v>
      </c>
      <c r="N173" s="92" t="s">
        <v>1</v>
      </c>
      <c r="O173" s="93">
        <v>45985</v>
      </c>
      <c r="P173" s="82" t="s">
        <v>92</v>
      </c>
      <c r="Q173" s="82"/>
      <c r="S173" s="384">
        <v>2674.38</v>
      </c>
      <c r="T173" s="130">
        <v>2674.38</v>
      </c>
      <c r="U173" s="92" t="s">
        <v>233</v>
      </c>
      <c r="V173" s="92"/>
      <c r="X173" s="105">
        <v>10.18</v>
      </c>
      <c r="Y173" s="105">
        <v>39.590000000000003</v>
      </c>
      <c r="Z173" s="105">
        <v>54.71</v>
      </c>
      <c r="AA173" s="105">
        <v>181.15</v>
      </c>
      <c r="AB173" s="105">
        <v>55.71</v>
      </c>
      <c r="AC173" s="105">
        <v>1263.54</v>
      </c>
      <c r="AD173" s="105">
        <v>278.95999999999998</v>
      </c>
      <c r="AE173" s="105">
        <v>217.72</v>
      </c>
      <c r="AF173" s="105">
        <v>86.5</v>
      </c>
      <c r="AG173" s="105">
        <v>262.22000000000003</v>
      </c>
      <c r="AH173" s="105">
        <v>34.54</v>
      </c>
      <c r="AI173" s="105">
        <v>169.08</v>
      </c>
      <c r="AJ173" s="105">
        <v>20.48</v>
      </c>
      <c r="AK173" s="124">
        <f t="shared" si="11"/>
        <v>2674.3799999999997</v>
      </c>
      <c r="AL173" s="124">
        <f t="shared" si="12"/>
        <v>0</v>
      </c>
    </row>
    <row r="174" spans="1:38" ht="24.9" hidden="1" customHeight="1" x14ac:dyDescent="0.3">
      <c r="A174" s="82">
        <v>173</v>
      </c>
      <c r="B174" s="82" t="s">
        <v>117</v>
      </c>
      <c r="C174" s="82" t="s">
        <v>117</v>
      </c>
      <c r="D174" s="102" t="s">
        <v>1201</v>
      </c>
      <c r="E174" s="102"/>
      <c r="F174" s="102" t="s">
        <v>1104</v>
      </c>
      <c r="G174" s="83">
        <v>561</v>
      </c>
      <c r="H174" s="84">
        <v>45597</v>
      </c>
      <c r="I174" s="84">
        <v>45961</v>
      </c>
      <c r="J174" s="85">
        <v>45839</v>
      </c>
      <c r="K174" s="84">
        <v>45930</v>
      </c>
      <c r="L174" s="83" t="s">
        <v>295</v>
      </c>
      <c r="M174" s="106" t="s">
        <v>784</v>
      </c>
      <c r="N174" s="82" t="s">
        <v>1</v>
      </c>
      <c r="O174" s="87">
        <v>45989</v>
      </c>
      <c r="P174" s="82" t="s">
        <v>275</v>
      </c>
      <c r="Q174" s="82"/>
      <c r="R174" s="271"/>
      <c r="S174" s="108">
        <f>99866.33+28361.12</f>
        <v>128227.45</v>
      </c>
      <c r="T174" s="108">
        <v>128227.45</v>
      </c>
      <c r="U174" s="82" t="s">
        <v>233</v>
      </c>
      <c r="V174" s="82"/>
      <c r="X174" s="96">
        <v>1069.5</v>
      </c>
      <c r="Y174" s="96"/>
      <c r="Z174" s="96"/>
      <c r="AA174" s="96">
        <v>2353.25</v>
      </c>
      <c r="AB174" s="96"/>
      <c r="AC174" s="96">
        <f>52713.45+6460.22</f>
        <v>59173.67</v>
      </c>
      <c r="AD174" s="96">
        <v>15232.3</v>
      </c>
      <c r="AE174" s="96">
        <v>6360.3</v>
      </c>
      <c r="AF174" s="96">
        <v>534.85</v>
      </c>
      <c r="AG174" s="96">
        <v>33418.129999999997</v>
      </c>
      <c r="AH174" s="96">
        <v>1560</v>
      </c>
      <c r="AI174" s="96">
        <v>8525.4500000000007</v>
      </c>
      <c r="AJ174" s="96"/>
      <c r="AK174" s="108">
        <f t="shared" si="11"/>
        <v>128227.45</v>
      </c>
      <c r="AL174" s="108">
        <f t="shared" si="12"/>
        <v>0</v>
      </c>
    </row>
    <row r="175" spans="1:38" ht="24.9" customHeight="1" x14ac:dyDescent="0.3">
      <c r="A175" s="82">
        <v>174</v>
      </c>
      <c r="B175" s="82" t="s">
        <v>0</v>
      </c>
      <c r="C175" s="82" t="s">
        <v>0</v>
      </c>
      <c r="D175" s="102" t="s">
        <v>1212</v>
      </c>
      <c r="E175" s="102"/>
      <c r="F175" s="102" t="s">
        <v>987</v>
      </c>
      <c r="G175" s="83">
        <v>154</v>
      </c>
      <c r="H175" s="84">
        <v>43082</v>
      </c>
      <c r="I175" s="84">
        <v>46507</v>
      </c>
      <c r="J175" s="85">
        <v>45870</v>
      </c>
      <c r="K175" s="84">
        <v>45961</v>
      </c>
      <c r="L175" s="83" t="s">
        <v>295</v>
      </c>
      <c r="M175" s="86" t="s">
        <v>813</v>
      </c>
      <c r="N175" s="82" t="s">
        <v>1</v>
      </c>
      <c r="O175" s="87">
        <v>45996</v>
      </c>
      <c r="P175" s="82" t="s">
        <v>2</v>
      </c>
      <c r="Q175" s="82" t="s">
        <v>166</v>
      </c>
      <c r="R175" s="271"/>
      <c r="S175" s="108">
        <v>60353.5</v>
      </c>
      <c r="T175" s="108">
        <v>60353.5</v>
      </c>
      <c r="U175" s="82" t="s">
        <v>272</v>
      </c>
      <c r="V175" s="82"/>
      <c r="X175" s="96"/>
      <c r="Y175" s="96"/>
      <c r="Z175" s="96"/>
      <c r="AA175" s="96"/>
      <c r="AB175" s="96"/>
      <c r="AC175" s="96">
        <v>44684.5</v>
      </c>
      <c r="AD175" s="96">
        <v>15669</v>
      </c>
      <c r="AE175" s="96"/>
      <c r="AF175" s="96"/>
      <c r="AG175" s="96"/>
      <c r="AH175" s="96"/>
      <c r="AI175" s="96"/>
      <c r="AJ175" s="96"/>
      <c r="AK175" s="108">
        <f t="shared" ref="AK175:AK184" si="13">SUM(X175:AJ175)</f>
        <v>60353.5</v>
      </c>
      <c r="AL175" s="108">
        <f t="shared" si="12"/>
        <v>0</v>
      </c>
    </row>
    <row r="176" spans="1:38" s="402" customFormat="1" ht="24.9" customHeight="1" x14ac:dyDescent="0.3">
      <c r="A176" s="407">
        <v>175</v>
      </c>
      <c r="B176" s="405" t="s">
        <v>0</v>
      </c>
      <c r="C176" s="405" t="s">
        <v>0</v>
      </c>
      <c r="D176" s="158" t="s">
        <v>1204</v>
      </c>
      <c r="E176" s="102"/>
      <c r="F176" s="102" t="s">
        <v>985</v>
      </c>
      <c r="G176" s="403">
        <v>541</v>
      </c>
      <c r="H176" s="401">
        <v>44287</v>
      </c>
      <c r="I176" s="401">
        <v>46660</v>
      </c>
      <c r="J176" s="406">
        <v>45839</v>
      </c>
      <c r="K176" s="401">
        <v>45930</v>
      </c>
      <c r="L176" s="401" t="s">
        <v>295</v>
      </c>
      <c r="M176" s="415" t="s">
        <v>679</v>
      </c>
      <c r="N176" s="405" t="s">
        <v>1</v>
      </c>
      <c r="O176" s="408">
        <v>45996</v>
      </c>
      <c r="P176" s="405" t="s">
        <v>2</v>
      </c>
      <c r="Q176" s="405" t="s">
        <v>166</v>
      </c>
      <c r="R176" s="416"/>
      <c r="S176" s="417">
        <v>238922.8</v>
      </c>
      <c r="T176" s="418">
        <v>262772.8</v>
      </c>
      <c r="U176" s="405" t="s">
        <v>272</v>
      </c>
      <c r="V176" s="405"/>
      <c r="W176" s="404"/>
      <c r="X176" s="419"/>
      <c r="Y176" s="419"/>
      <c r="Z176" s="419"/>
      <c r="AA176" s="419">
        <v>1518.15</v>
      </c>
      <c r="AB176" s="419"/>
      <c r="AC176" s="419">
        <v>91164.45</v>
      </c>
      <c r="AD176" s="419">
        <v>116563.93</v>
      </c>
      <c r="AE176" s="419">
        <v>11963.7</v>
      </c>
      <c r="AF176" s="419"/>
      <c r="AG176" s="419"/>
      <c r="AH176" s="419"/>
      <c r="AI176" s="419">
        <v>17712.57</v>
      </c>
      <c r="AJ176" s="419"/>
      <c r="AK176" s="108">
        <f t="shared" si="13"/>
        <v>238922.8</v>
      </c>
      <c r="AL176" s="108">
        <f t="shared" si="12"/>
        <v>0</v>
      </c>
    </row>
    <row r="177" spans="1:38" s="402" customFormat="1" ht="24.9" customHeight="1" x14ac:dyDescent="0.3">
      <c r="A177" s="407">
        <v>176</v>
      </c>
      <c r="B177" s="405" t="s">
        <v>0</v>
      </c>
      <c r="C177" s="405" t="s">
        <v>0</v>
      </c>
      <c r="D177" s="409" t="s">
        <v>1203</v>
      </c>
      <c r="E177" s="102"/>
      <c r="F177" s="400" t="s">
        <v>426</v>
      </c>
      <c r="G177" s="403">
        <v>83</v>
      </c>
      <c r="H177" s="401">
        <v>44287</v>
      </c>
      <c r="I177" s="401">
        <v>46660</v>
      </c>
      <c r="J177" s="406">
        <v>45839</v>
      </c>
      <c r="K177" s="401">
        <v>45930</v>
      </c>
      <c r="L177" s="401" t="s">
        <v>295</v>
      </c>
      <c r="M177" s="415" t="s">
        <v>679</v>
      </c>
      <c r="N177" s="405" t="s">
        <v>1</v>
      </c>
      <c r="O177" s="408">
        <v>45996</v>
      </c>
      <c r="P177" s="405" t="s">
        <v>2</v>
      </c>
      <c r="Q177" s="405" t="s">
        <v>166</v>
      </c>
      <c r="R177" s="416"/>
      <c r="S177" s="417">
        <v>23850</v>
      </c>
      <c r="T177" s="418">
        <v>262772.8</v>
      </c>
      <c r="U177" s="405" t="s">
        <v>272</v>
      </c>
      <c r="V177" s="405"/>
      <c r="W177" s="404"/>
      <c r="X177" s="419"/>
      <c r="Y177" s="419"/>
      <c r="Z177" s="419"/>
      <c r="AA177" s="419">
        <v>2700</v>
      </c>
      <c r="AB177" s="419"/>
      <c r="AC177" s="419"/>
      <c r="AD177" s="419">
        <v>21150</v>
      </c>
      <c r="AE177" s="419" t="s">
        <v>1202</v>
      </c>
      <c r="AF177" s="419"/>
      <c r="AG177" s="419"/>
      <c r="AH177" s="419"/>
      <c r="AI177" s="419"/>
      <c r="AJ177" s="419"/>
      <c r="AK177" s="108">
        <f t="shared" si="13"/>
        <v>23850</v>
      </c>
      <c r="AL177" s="108">
        <f t="shared" si="12"/>
        <v>0</v>
      </c>
    </row>
    <row r="178" spans="1:38" ht="24.9" hidden="1" customHeight="1" x14ac:dyDescent="0.3">
      <c r="A178" s="117">
        <v>177</v>
      </c>
      <c r="B178" s="82" t="s">
        <v>30</v>
      </c>
      <c r="C178" s="82" t="s">
        <v>30</v>
      </c>
      <c r="D178" s="102" t="s">
        <v>1206</v>
      </c>
      <c r="E178" s="102"/>
      <c r="F178" s="102" t="s">
        <v>1205</v>
      </c>
      <c r="G178" s="403"/>
      <c r="H178" s="401">
        <v>45658</v>
      </c>
      <c r="I178" s="401">
        <v>46022</v>
      </c>
      <c r="J178" s="406">
        <v>45748</v>
      </c>
      <c r="K178" s="401">
        <v>45930</v>
      </c>
      <c r="L178" s="401" t="s">
        <v>295</v>
      </c>
      <c r="M178" s="106"/>
      <c r="N178" s="82" t="s">
        <v>5</v>
      </c>
      <c r="O178" s="87">
        <v>45996</v>
      </c>
      <c r="P178" s="82" t="s">
        <v>2</v>
      </c>
      <c r="Q178" s="82" t="s">
        <v>168</v>
      </c>
      <c r="R178" s="271"/>
      <c r="S178" s="420">
        <f>39000+24000</f>
        <v>63000</v>
      </c>
      <c r="T178" s="127" t="s">
        <v>5</v>
      </c>
      <c r="U178" s="82" t="s">
        <v>272</v>
      </c>
      <c r="V178" s="82"/>
      <c r="W178" s="43" t="s">
        <v>1207</v>
      </c>
      <c r="X178" s="96"/>
      <c r="Y178" s="96"/>
      <c r="Z178" s="96"/>
      <c r="AA178" s="96"/>
      <c r="AB178" s="96"/>
      <c r="AC178" s="420">
        <f>39000+24000</f>
        <v>63000</v>
      </c>
      <c r="AD178" s="96"/>
      <c r="AE178" s="96"/>
      <c r="AF178" s="96"/>
      <c r="AG178" s="96"/>
      <c r="AH178" s="96"/>
      <c r="AI178" s="96"/>
      <c r="AJ178" s="96"/>
      <c r="AK178" s="108">
        <f t="shared" si="13"/>
        <v>63000</v>
      </c>
      <c r="AL178" s="108">
        <f t="shared" si="12"/>
        <v>0</v>
      </c>
    </row>
    <row r="179" spans="1:38" ht="24.9" hidden="1" customHeight="1" x14ac:dyDescent="0.3">
      <c r="A179" s="117">
        <v>178</v>
      </c>
      <c r="B179" s="82" t="s">
        <v>588</v>
      </c>
      <c r="C179" s="82" t="s">
        <v>17</v>
      </c>
      <c r="D179" s="102" t="s">
        <v>1208</v>
      </c>
      <c r="E179" s="102"/>
      <c r="F179" s="102" t="s">
        <v>986</v>
      </c>
      <c r="G179" s="403">
        <v>437</v>
      </c>
      <c r="H179" s="401">
        <v>43301</v>
      </c>
      <c r="I179" s="401">
        <v>45945</v>
      </c>
      <c r="J179" s="406">
        <v>45682</v>
      </c>
      <c r="K179" s="401">
        <v>45772</v>
      </c>
      <c r="L179" s="401" t="s">
        <v>295</v>
      </c>
      <c r="M179" s="102" t="s">
        <v>795</v>
      </c>
      <c r="N179" s="82" t="s">
        <v>1</v>
      </c>
      <c r="O179" s="87">
        <v>46006</v>
      </c>
      <c r="P179" s="92" t="s">
        <v>2</v>
      </c>
      <c r="Q179" s="92" t="s">
        <v>166</v>
      </c>
      <c r="R179" s="271"/>
      <c r="S179" s="420">
        <v>64000</v>
      </c>
      <c r="T179" s="127">
        <v>64000</v>
      </c>
      <c r="U179" s="82" t="s">
        <v>272</v>
      </c>
      <c r="V179" s="82"/>
      <c r="X179" s="96"/>
      <c r="Y179" s="96"/>
      <c r="Z179" s="96"/>
      <c r="AA179" s="96"/>
      <c r="AB179" s="96"/>
      <c r="AC179" s="96">
        <v>64000</v>
      </c>
      <c r="AD179" s="96"/>
      <c r="AE179" s="96"/>
      <c r="AF179" s="96"/>
      <c r="AG179" s="96"/>
      <c r="AH179" s="96"/>
      <c r="AI179" s="96"/>
      <c r="AJ179" s="96"/>
      <c r="AK179" s="108">
        <f t="shared" si="13"/>
        <v>64000</v>
      </c>
      <c r="AL179" s="108">
        <f t="shared" si="12"/>
        <v>0</v>
      </c>
    </row>
    <row r="180" spans="1:38" ht="24.9" customHeight="1" x14ac:dyDescent="0.3">
      <c r="A180" s="117">
        <v>179</v>
      </c>
      <c r="B180" s="82" t="s">
        <v>0</v>
      </c>
      <c r="C180" s="82" t="s">
        <v>0</v>
      </c>
      <c r="D180" s="102" t="s">
        <v>1213</v>
      </c>
      <c r="E180" s="102"/>
      <c r="F180" s="102" t="s">
        <v>983</v>
      </c>
      <c r="G180" s="403">
        <v>133</v>
      </c>
      <c r="H180" s="401">
        <v>45322</v>
      </c>
      <c r="I180" s="401">
        <v>45961</v>
      </c>
      <c r="J180" s="406">
        <v>45901</v>
      </c>
      <c r="K180" s="401">
        <v>45991</v>
      </c>
      <c r="L180" s="401" t="s">
        <v>295</v>
      </c>
      <c r="M180" s="106" t="s">
        <v>286</v>
      </c>
      <c r="N180" s="82" t="s">
        <v>1</v>
      </c>
      <c r="O180" s="87">
        <v>46010</v>
      </c>
      <c r="P180" s="82" t="s">
        <v>2</v>
      </c>
      <c r="Q180" s="82"/>
      <c r="R180" s="271"/>
      <c r="S180" s="420">
        <f>47250+330750</f>
        <v>378000</v>
      </c>
      <c r="T180" s="127">
        <v>378000</v>
      </c>
      <c r="U180" s="82" t="s">
        <v>272</v>
      </c>
      <c r="V180" s="82"/>
      <c r="X180" s="96"/>
      <c r="Y180" s="96"/>
      <c r="Z180" s="96"/>
      <c r="AA180" s="96"/>
      <c r="AB180" s="96"/>
      <c r="AC180" s="96">
        <v>378000</v>
      </c>
      <c r="AD180" s="96"/>
      <c r="AE180" s="96"/>
      <c r="AF180" s="96"/>
      <c r="AG180" s="96"/>
      <c r="AH180" s="96"/>
      <c r="AI180" s="96"/>
      <c r="AJ180" s="96"/>
      <c r="AK180" s="108">
        <f t="shared" si="13"/>
        <v>378000</v>
      </c>
      <c r="AL180" s="108">
        <f t="shared" si="12"/>
        <v>0</v>
      </c>
    </row>
    <row r="181" spans="1:38" ht="24.9" customHeight="1" x14ac:dyDescent="0.3">
      <c r="A181" s="117">
        <v>180</v>
      </c>
      <c r="B181" s="82" t="s">
        <v>0</v>
      </c>
      <c r="C181" s="82" t="s">
        <v>0</v>
      </c>
      <c r="D181" s="102" t="s">
        <v>1210</v>
      </c>
      <c r="E181" s="102"/>
      <c r="F181" s="102" t="s">
        <v>429</v>
      </c>
      <c r="G181" s="83">
        <v>84</v>
      </c>
      <c r="H181" s="84">
        <v>44044</v>
      </c>
      <c r="I181" s="84">
        <v>46290</v>
      </c>
      <c r="J181" s="406">
        <v>45901</v>
      </c>
      <c r="K181" s="401">
        <v>45961</v>
      </c>
      <c r="L181" s="401" t="s">
        <v>295</v>
      </c>
      <c r="M181" s="86" t="s">
        <v>428</v>
      </c>
      <c r="N181" s="82" t="s">
        <v>1</v>
      </c>
      <c r="O181" s="87">
        <v>46010</v>
      </c>
      <c r="P181" s="82"/>
      <c r="Q181" s="82"/>
      <c r="R181" s="271"/>
      <c r="S181" s="420">
        <v>400000</v>
      </c>
      <c r="T181" s="127">
        <v>400000</v>
      </c>
      <c r="U181" s="82" t="s">
        <v>272</v>
      </c>
      <c r="V181" s="82"/>
      <c r="X181" s="96"/>
      <c r="Y181" s="96"/>
      <c r="Z181" s="96"/>
      <c r="AA181" s="96"/>
      <c r="AB181" s="96"/>
      <c r="AC181" s="96">
        <f>142000+142000</f>
        <v>284000</v>
      </c>
      <c r="AD181" s="96">
        <f>58000+58000</f>
        <v>116000</v>
      </c>
      <c r="AE181" s="96"/>
      <c r="AF181" s="96"/>
      <c r="AG181" s="96"/>
      <c r="AH181" s="96"/>
      <c r="AI181" s="96"/>
      <c r="AJ181" s="96"/>
      <c r="AK181" s="108">
        <f t="shared" si="13"/>
        <v>400000</v>
      </c>
      <c r="AL181" s="108">
        <f t="shared" si="12"/>
        <v>0</v>
      </c>
    </row>
    <row r="182" spans="1:38" ht="24.9" hidden="1" customHeight="1" x14ac:dyDescent="0.3">
      <c r="A182" s="117">
        <v>181</v>
      </c>
      <c r="B182" s="82" t="s">
        <v>117</v>
      </c>
      <c r="C182" s="82" t="s">
        <v>116</v>
      </c>
      <c r="D182" s="102" t="s">
        <v>1211</v>
      </c>
      <c r="E182" s="102"/>
      <c r="F182" s="102"/>
      <c r="G182" s="83"/>
      <c r="H182" s="84">
        <v>45597</v>
      </c>
      <c r="I182" s="84">
        <v>45961</v>
      </c>
      <c r="J182" s="85">
        <v>45839</v>
      </c>
      <c r="K182" s="84">
        <v>45930</v>
      </c>
      <c r="L182" s="83" t="s">
        <v>295</v>
      </c>
      <c r="M182" s="106" t="s">
        <v>784</v>
      </c>
      <c r="N182" s="82" t="s">
        <v>1</v>
      </c>
      <c r="O182" s="87">
        <v>46013</v>
      </c>
      <c r="P182" s="82" t="s">
        <v>275</v>
      </c>
      <c r="Q182" s="82"/>
      <c r="R182" s="271"/>
      <c r="S182" s="420">
        <v>7362.9</v>
      </c>
      <c r="T182" s="127">
        <v>7362.9</v>
      </c>
      <c r="U182" s="82" t="s">
        <v>272</v>
      </c>
      <c r="V182" s="82"/>
      <c r="X182" s="96">
        <v>0.3</v>
      </c>
      <c r="Y182" s="96"/>
      <c r="Z182" s="96"/>
      <c r="AA182" s="96">
        <v>70.5</v>
      </c>
      <c r="AB182" s="96"/>
      <c r="AC182" s="96">
        <v>3081.6</v>
      </c>
      <c r="AD182" s="96">
        <v>1065</v>
      </c>
      <c r="AE182" s="96">
        <v>70.2</v>
      </c>
      <c r="AF182" s="96">
        <v>1.5</v>
      </c>
      <c r="AG182" s="96">
        <v>2310.6</v>
      </c>
      <c r="AH182" s="96">
        <v>221.7</v>
      </c>
      <c r="AI182" s="96">
        <v>541.5</v>
      </c>
      <c r="AJ182" s="96"/>
      <c r="AK182" s="108">
        <f t="shared" si="13"/>
        <v>7362.8999999999987</v>
      </c>
      <c r="AL182" s="108">
        <f t="shared" si="12"/>
        <v>0</v>
      </c>
    </row>
    <row r="183" spans="1:38" ht="24.9" hidden="1" customHeight="1" x14ac:dyDescent="0.3">
      <c r="A183" s="117">
        <v>182</v>
      </c>
      <c r="B183" s="82" t="s">
        <v>17</v>
      </c>
      <c r="C183" s="82" t="s">
        <v>17</v>
      </c>
      <c r="D183" s="102" t="s">
        <v>1233</v>
      </c>
      <c r="E183" s="102"/>
      <c r="F183" s="102"/>
      <c r="G183" s="403"/>
      <c r="H183" s="401"/>
      <c r="I183" s="401"/>
      <c r="J183" s="406">
        <v>45474</v>
      </c>
      <c r="K183" s="401">
        <v>45838</v>
      </c>
      <c r="L183" s="401" t="s">
        <v>289</v>
      </c>
      <c r="M183" s="106"/>
      <c r="N183" s="82" t="s">
        <v>1</v>
      </c>
      <c r="O183" s="87">
        <v>46013</v>
      </c>
      <c r="P183" s="82"/>
      <c r="Q183" s="82"/>
      <c r="R183" s="271"/>
      <c r="S183" s="420">
        <v>397427.09</v>
      </c>
      <c r="T183" s="127">
        <v>397427.09</v>
      </c>
      <c r="U183" s="82" t="s">
        <v>272</v>
      </c>
      <c r="V183" s="82"/>
      <c r="X183" s="96"/>
      <c r="Y183" s="96"/>
      <c r="Z183" s="96"/>
      <c r="AA183" s="96"/>
      <c r="AB183" s="96"/>
      <c r="AC183" s="96"/>
      <c r="AD183" s="96">
        <v>397427.09</v>
      </c>
      <c r="AE183" s="96"/>
      <c r="AF183" s="96"/>
      <c r="AG183" s="96"/>
      <c r="AH183" s="96"/>
      <c r="AI183" s="96"/>
      <c r="AJ183" s="96"/>
      <c r="AK183" s="108">
        <f t="shared" si="13"/>
        <v>397427.09</v>
      </c>
      <c r="AL183" s="108">
        <f t="shared" si="12"/>
        <v>0</v>
      </c>
    </row>
    <row r="184" spans="1:38" ht="24.9" hidden="1" customHeight="1" x14ac:dyDescent="0.3">
      <c r="A184" s="117">
        <v>183</v>
      </c>
      <c r="B184" s="82" t="s">
        <v>237</v>
      </c>
      <c r="C184" s="82" t="s">
        <v>237</v>
      </c>
      <c r="D184" s="82" t="s">
        <v>1209</v>
      </c>
      <c r="F184" s="102" t="s">
        <v>975</v>
      </c>
      <c r="G184" s="83">
        <v>529</v>
      </c>
      <c r="H184" s="84">
        <v>44743</v>
      </c>
      <c r="I184" s="84">
        <v>46022</v>
      </c>
      <c r="J184" s="85">
        <v>45962</v>
      </c>
      <c r="K184" s="85">
        <v>45991</v>
      </c>
      <c r="L184" s="83" t="s">
        <v>337</v>
      </c>
      <c r="M184" s="106" t="s">
        <v>793</v>
      </c>
      <c r="N184" s="82" t="s">
        <v>1</v>
      </c>
      <c r="O184" s="87">
        <v>46014</v>
      </c>
      <c r="P184" s="82" t="s">
        <v>92</v>
      </c>
      <c r="Q184" s="82"/>
      <c r="S184" s="420">
        <v>4244.71</v>
      </c>
      <c r="T184" s="127">
        <v>4244.71</v>
      </c>
      <c r="U184" s="82" t="s">
        <v>272</v>
      </c>
      <c r="V184" s="82" t="s">
        <v>27</v>
      </c>
      <c r="X184" s="39">
        <v>4.97</v>
      </c>
      <c r="Y184" s="39">
        <v>34.42</v>
      </c>
      <c r="Z184" s="39">
        <v>64.59</v>
      </c>
      <c r="AA184" s="39">
        <v>273.10000000000002</v>
      </c>
      <c r="AB184" s="39">
        <v>46.28</v>
      </c>
      <c r="AC184" s="39">
        <v>1898.41</v>
      </c>
      <c r="AD184" s="39">
        <v>506.78</v>
      </c>
      <c r="AE184" s="39">
        <v>283.48</v>
      </c>
      <c r="AF184" s="39">
        <v>77.290000000000006</v>
      </c>
      <c r="AG184" s="39">
        <v>674.25</v>
      </c>
      <c r="AH184" s="39">
        <v>51.87</v>
      </c>
      <c r="AI184" s="39">
        <v>306.5</v>
      </c>
      <c r="AJ184" s="39">
        <v>22.77</v>
      </c>
      <c r="AK184" s="108">
        <f t="shared" si="13"/>
        <v>4244.7100000000009</v>
      </c>
      <c r="AL184" s="108">
        <f t="shared" si="12"/>
        <v>0</v>
      </c>
    </row>
    <row r="185" spans="1:38" ht="24.9" hidden="1" customHeight="1" x14ac:dyDescent="0.3">
      <c r="A185" s="117">
        <v>184</v>
      </c>
      <c r="B185" s="82" t="s">
        <v>30</v>
      </c>
      <c r="C185" s="82" t="s">
        <v>30</v>
      </c>
      <c r="D185" s="82" t="s">
        <v>1234</v>
      </c>
      <c r="F185" s="102" t="s">
        <v>1235</v>
      </c>
      <c r="G185" s="83">
        <v>244</v>
      </c>
      <c r="H185" s="84">
        <v>42061</v>
      </c>
      <c r="I185" s="84">
        <v>46446</v>
      </c>
      <c r="J185" s="85">
        <v>45931</v>
      </c>
      <c r="K185" s="85">
        <v>46022</v>
      </c>
      <c r="L185" s="94" t="s">
        <v>295</v>
      </c>
      <c r="M185" s="106" t="s">
        <v>380</v>
      </c>
      <c r="N185" s="82" t="s">
        <v>1</v>
      </c>
      <c r="O185" s="87">
        <v>46020</v>
      </c>
      <c r="P185" s="82" t="s">
        <v>2</v>
      </c>
      <c r="Q185" s="82" t="s">
        <v>168</v>
      </c>
      <c r="S185" s="420">
        <v>7196.4</v>
      </c>
      <c r="T185" s="127">
        <v>7196.4</v>
      </c>
      <c r="U185" s="82" t="s">
        <v>272</v>
      </c>
      <c r="V185" s="20"/>
      <c r="X185" s="39"/>
      <c r="Y185" s="39"/>
      <c r="Z185" s="39"/>
      <c r="AA185" s="39"/>
      <c r="AB185" s="39"/>
      <c r="AC185" s="39"/>
      <c r="AD185" s="39"/>
      <c r="AE185" s="39"/>
      <c r="AF185" s="39"/>
      <c r="AG185" s="39"/>
      <c r="AH185" s="39"/>
      <c r="AI185" s="39"/>
      <c r="AJ185" s="39"/>
      <c r="AK185" s="421"/>
      <c r="AL185" s="108"/>
    </row>
    <row r="186" spans="1:38" s="101" customFormat="1" ht="24.9" hidden="1" customHeight="1" x14ac:dyDescent="0.3">
      <c r="A186" s="117"/>
      <c r="J186" s="104"/>
      <c r="K186" s="104"/>
      <c r="L186" s="104"/>
      <c r="M186" s="82"/>
      <c r="N186" s="82"/>
      <c r="O186" s="82"/>
      <c r="P186" s="82"/>
      <c r="R186" s="103"/>
      <c r="S186" s="118"/>
      <c r="T186" s="122"/>
      <c r="W186" s="104"/>
      <c r="X186" s="103"/>
      <c r="Y186" s="103"/>
      <c r="Z186" s="103"/>
      <c r="AA186" s="103"/>
      <c r="AB186" s="103"/>
      <c r="AC186" s="103"/>
      <c r="AD186" s="103"/>
      <c r="AE186" s="103"/>
      <c r="AF186" s="103"/>
      <c r="AG186" s="103"/>
      <c r="AH186" s="103"/>
      <c r="AI186" s="103"/>
      <c r="AJ186" s="103"/>
      <c r="AK186" s="421"/>
      <c r="AL186" s="108"/>
    </row>
    <row r="187" spans="1:38" s="286" customFormat="1" hidden="1" x14ac:dyDescent="0.3">
      <c r="A187" s="277"/>
      <c r="B187" s="278"/>
      <c r="C187" s="278"/>
      <c r="D187" s="278"/>
      <c r="E187" s="278"/>
      <c r="F187" s="278"/>
      <c r="G187" s="278"/>
      <c r="H187" s="278"/>
      <c r="I187" s="278"/>
      <c r="J187" s="385"/>
      <c r="K187" s="385"/>
      <c r="L187" s="279"/>
      <c r="M187" s="280"/>
      <c r="N187" s="280"/>
      <c r="O187" s="280"/>
      <c r="P187" s="280"/>
      <c r="Q187" s="278"/>
      <c r="R187" s="281" t="s">
        <v>678</v>
      </c>
      <c r="S187" s="282">
        <f>SUM(S2:S186)</f>
        <v>27035114.780000009</v>
      </c>
      <c r="T187" s="398"/>
      <c r="U187" s="278"/>
      <c r="V187" s="278"/>
      <c r="W187" s="279"/>
      <c r="X187" s="283"/>
      <c r="Y187" s="283"/>
      <c r="Z187" s="283"/>
      <c r="AA187" s="283"/>
      <c r="AB187" s="283"/>
      <c r="AC187" s="283"/>
      <c r="AD187" s="283"/>
      <c r="AE187" s="283"/>
      <c r="AF187" s="283"/>
      <c r="AG187" s="283"/>
      <c r="AH187" s="283"/>
      <c r="AI187" s="283"/>
      <c r="AJ187" s="283"/>
      <c r="AK187" s="284"/>
      <c r="AL187" s="285"/>
    </row>
    <row r="188" spans="1:38" x14ac:dyDescent="0.3">
      <c r="AK188" s="233"/>
      <c r="AL188" s="110"/>
    </row>
    <row r="189" spans="1:38" x14ac:dyDescent="0.3">
      <c r="AK189" s="233"/>
      <c r="AL189" s="110"/>
    </row>
    <row r="191" spans="1:38" x14ac:dyDescent="0.3">
      <c r="B191" s="19" t="s">
        <v>107</v>
      </c>
      <c r="C191" s="387" t="s">
        <v>107</v>
      </c>
      <c r="D191" s="19" t="s">
        <v>1190</v>
      </c>
      <c r="O191" s="386">
        <v>45958</v>
      </c>
      <c r="S191" s="41">
        <v>19786.21</v>
      </c>
      <c r="T191" s="399">
        <v>19786.21</v>
      </c>
      <c r="W191" s="43" t="s">
        <v>1191</v>
      </c>
    </row>
    <row r="192" spans="1:38" x14ac:dyDescent="0.3">
      <c r="S192" s="357"/>
      <c r="T192" s="394"/>
      <c r="U192" s="42"/>
    </row>
    <row r="193" spans="19:21" x14ac:dyDescent="0.3">
      <c r="S193" s="357"/>
      <c r="T193" s="394"/>
      <c r="U193" s="42"/>
    </row>
    <row r="194" spans="19:21" x14ac:dyDescent="0.3">
      <c r="S194" s="357"/>
      <c r="T194" s="394"/>
      <c r="U194" s="42"/>
    </row>
    <row r="195" spans="19:21" x14ac:dyDescent="0.3">
      <c r="S195" s="357"/>
      <c r="T195" s="394"/>
      <c r="U195" s="42"/>
    </row>
    <row r="196" spans="19:21" x14ac:dyDescent="0.3">
      <c r="S196" s="357"/>
      <c r="T196" s="394"/>
      <c r="U196" s="42"/>
    </row>
    <row r="197" spans="19:21" x14ac:dyDescent="0.3">
      <c r="S197" s="357"/>
      <c r="T197" s="394"/>
      <c r="U197" s="42"/>
    </row>
    <row r="198" spans="19:21" x14ac:dyDescent="0.3">
      <c r="S198" s="357"/>
      <c r="T198" s="394"/>
      <c r="U198" s="42"/>
    </row>
    <row r="199" spans="19:21" x14ac:dyDescent="0.3">
      <c r="S199" s="357"/>
      <c r="T199" s="394"/>
      <c r="U199" s="42"/>
    </row>
  </sheetData>
  <autoFilter ref="A1:AL187" xr:uid="{F3B0B51C-819D-4E3E-950C-872ACE377457}">
    <filterColumn colId="2">
      <filters>
        <filter val="Boston Sci"/>
      </filters>
    </filterColumn>
    <sortState xmlns:xlrd2="http://schemas.microsoft.com/office/spreadsheetml/2017/richdata2" ref="A2:AL186">
      <sortCondition ref="O1:O186"/>
    </sortState>
  </autoFilter>
  <phoneticPr fontId="10" type="noConversion"/>
  <hyperlinks>
    <hyperlink ref="M87" r:id="rId1" tooltip="4052.4128C" display="https://contracts.tractmanager.com/contracts/contractsummary.aspx?id=4128" xr:uid="{D6C34B9B-1AB2-4CAC-9454-1FC95F8D6395}"/>
    <hyperlink ref="M85" r:id="rId2" tooltip="4052.5862C" display="https://contracts.tractmanager.com/contracts/contractsummary.aspx?id=5862" xr:uid="{791DA13F-2422-457F-BF04-2E23F0C71DB6}"/>
    <hyperlink ref="M86" r:id="rId3" tooltip="4052.8497C" display="https://contracts.tractmanager.com/contracts/contractsummary.aspx?id=8497" xr:uid="{DC0D3BA7-64DD-4592-B0CC-35014617669B}"/>
    <hyperlink ref="M73" r:id="rId4" tooltip="4052.5862C" display="https://contracts.tractmanager.com/contracts/contractsummary.aspx?id=5862" xr:uid="{77DD6F45-8299-40D3-9F0B-BAABA30D42CB}"/>
    <hyperlink ref="M78" r:id="rId5" tooltip="4052.4340C" display="https://contracts.tractmanager.com/contracts/contractsummary.aspx?id=4340" xr:uid="{825D3874-46F2-4E5E-916D-3F9D8D0FE48F}"/>
    <hyperlink ref="M29" r:id="rId6" tooltip="4052.5862C" display="https://contracts.tractmanager.com/contracts/contractsummary.aspx?id=5862" xr:uid="{C45863FF-ABDD-4DBE-9C58-DA3D87950FB7}"/>
    <hyperlink ref="M50" r:id="rId7" tooltip="4052.5862C" display="https://contracts.tractmanager.com/contracts/contractsummary.aspx?id=5862" xr:uid="{42D59843-2F42-4365-AC63-B9E2C4FB3CC1}"/>
    <hyperlink ref="M80" r:id="rId8" tooltip="4052.4507C" display="https://contracts.tractmanager.com/contracts/contractsummary.aspx?id=4507" xr:uid="{A8A15EAA-0423-4506-AC28-BF57168F5DDB}"/>
    <hyperlink ref="M34" r:id="rId9" tooltip="4052.5736C" display="https://contracts.tractmanager.com/contracts/contractsummary.aspx?id=5736" xr:uid="{B22C0322-53CD-4B36-87CC-0AB30EDE07F3}"/>
    <hyperlink ref="M16" r:id="rId10" tooltip="4052.8154C" display="https://contracts.tractmanager.com/contracts/contractsummary.aspx?id=8154" xr:uid="{4A9FE614-8065-491B-B700-7CD87140078B}"/>
    <hyperlink ref="M13" r:id="rId11" tooltip="4052.31867A" display="https://contracts.tractmanager.com/contracts/contractsummary.aspx?id=31867" xr:uid="{8180B6D8-F044-4C73-A5EA-466628E07F3F}"/>
    <hyperlink ref="M12" r:id="rId12" tooltip="4052.13729C" display="https://contracts.tractmanager.com/contracts/contractsummary.aspx?id=13729" xr:uid="{DB426FC1-5E2D-460A-BF2F-88412CBB3E01}"/>
    <hyperlink ref="M9" r:id="rId13" tooltip="4052.5736C" display="https://contracts.tractmanager.com/contracts/contractsummary.aspx?id=5736" xr:uid="{570BA4E5-BEE7-40E3-9D68-5F7BFD66F4A4}"/>
    <hyperlink ref="M3" r:id="rId14" tooltip="4052.5736C" display="https://contracts.tractmanager.com/contracts/contractsummary.aspx?id=5736" xr:uid="{1B3D6F61-A81E-4A48-AEBE-2372F46DF9A7}"/>
    <hyperlink ref="M5" r:id="rId15" tooltip="4052.3522C" display="https://contracts.tractmanager.com/contracts/contractsummary.aspx?id=3522" xr:uid="{9444D859-F51B-450E-91AD-1869DACDE788}"/>
    <hyperlink ref="M28" r:id="rId16" tooltip="4052.27661C" display="https://contracts.tractmanager.com/contracts/contractsummary.aspx?id=27661" xr:uid="{8613CB3B-F25E-467D-A65C-AC19D29961E7}"/>
    <hyperlink ref="M44" r:id="rId17" tooltip="4052.30583C" display="https://contracts.tractmanager.com/contracts/contractsummary.aspx?id=30583" xr:uid="{49A3726D-FA84-4B81-842D-BA88F0EB07A1}"/>
    <hyperlink ref="M42" r:id="rId18" tooltip="4052.30584C" display="https://contracts.tractmanager.com/contracts/contractsummary.aspx?id=30584" xr:uid="{AA745F48-5492-4E47-8075-C0D998597935}"/>
    <hyperlink ref="M41" r:id="rId19" tooltip="4052.30585C" display="https://contracts.tractmanager.com/contracts/contractsummary.aspx?id=30585" xr:uid="{3B6FEDA3-C15D-43CB-BA20-DC7A91C022C6}"/>
    <hyperlink ref="M43" r:id="rId20" tooltip="4052.25253C" display="https://contracts.tractmanager.com/contracts/contractsummary.aspx?id=25253" xr:uid="{930FAFFB-451D-4DED-B748-B96BDA89B8C2}"/>
    <hyperlink ref="M40" r:id="rId21" tooltip="4052.25253C" display="https://contracts.tractmanager.com/contracts/contractsummary.aspx?id=25253" xr:uid="{5A275D92-5D00-453F-B21D-E46E34A0491C}"/>
    <hyperlink ref="M39" r:id="rId22" tooltip="4052.25253C" display="https://contracts.tractmanager.com/contracts/contractsummary.aspx?id=25253" xr:uid="{817D41BA-7F56-445A-85F1-01EE55FCC4ED}"/>
    <hyperlink ref="M38" r:id="rId23" tooltip="4052.25253C" display="https://contracts.tractmanager.com/contracts/contractsummary.aspx?id=25253" xr:uid="{77C0B191-33C9-4C8D-AECA-AC3D6E643AB9}"/>
    <hyperlink ref="M76" r:id="rId24" tooltip="4052.8154C" display="https://contracts.tractmanager.com/contracts/contractsummary.aspx?id=8154" xr:uid="{8C221874-8161-4CA6-8259-BA7EF45B2F0A}"/>
    <hyperlink ref="M52" r:id="rId25" tooltip="4052.13778C" display="https://contracts.tractmanager.com/contracts/contractsummary.aspx?id=13778" xr:uid="{1903BEB6-D67C-4A90-B152-8F61DD0C0722}"/>
    <hyperlink ref="M72" r:id="rId26" tooltip="4052.3522C" display="https://contracts.tractmanager.com/contracts/contractsummary.aspx?id=3522" xr:uid="{F4ED460B-5243-4787-B8B1-D9B03CFA3852}"/>
    <hyperlink ref="M84" r:id="rId27" tooltip="4052.3435C" display="https://contracts.tractmanager.com/contracts/contractsummary.aspx?id=3435" xr:uid="{1C85E3BE-35DE-4A8D-820B-3D18676B6310}"/>
    <hyperlink ref="M49" r:id="rId28" tooltip="4052.3124C" display="https://contracts.tractmanager.com/contracts/contractsummary.aspx?id=3124" xr:uid="{B861C3EC-FFD5-493C-8F24-3CCB5DACE27A}"/>
    <hyperlink ref="M48" r:id="rId29" tooltip="4052.3124C" display="https://contracts.tractmanager.com/contracts/contractsummary.aspx?id=3124" xr:uid="{51951FAC-9230-4C65-B5A4-CBF579ACC9D9}"/>
    <hyperlink ref="M77" r:id="rId30" tooltip="4052.30400C" display="https://contracts.tractmanager.com/contracts/contractsummary.aspx?id=30400" xr:uid="{BCE55D68-09D8-4062-9D17-E3BF8C2747E1}"/>
    <hyperlink ref="M66" r:id="rId31" tooltip="4052.4129C" display="https://contracts.tractmanager.com/contracts/contractsummary.aspx?id=4129" xr:uid="{756E6AF4-3F02-48B0-B41D-5EDADD096B5E}"/>
    <hyperlink ref="M69" r:id="rId32" tooltip="4052.30400C" display="https://contracts.tractmanager.com/contracts/contractsummary.aspx?id=30400" xr:uid="{48C07A3B-2117-4E5E-91AA-FAA487532A1B}"/>
    <hyperlink ref="M37" r:id="rId33" tooltip="4052.4129C" display="https://contracts.tractmanager.com/contracts/contractsummary.aspx?id=4129" xr:uid="{724C928E-01C9-4333-BEFA-BBD22354998B}"/>
    <hyperlink ref="M32" r:id="rId34" tooltip="4052.4129C" display="https://contracts.tractmanager.com/contracts/contractsummary.aspx?id=4129" xr:uid="{1299B9C1-902B-47F2-9DDB-3AC30779F933}"/>
    <hyperlink ref="M47" r:id="rId35" tooltip="4052.30400C" display="https://contracts.tractmanager.com/contracts/contractsummary.aspx?id=30400" xr:uid="{21123DB6-77F1-4349-82F7-521329BF3CBB}"/>
    <hyperlink ref="M53" r:id="rId36" tooltip="4052.30400C" display="https://contracts.tractmanager.com/contracts/contractsummary.aspx?id=30400" xr:uid="{6145EC07-B984-4D5A-BB19-A4DEB9AC632A}"/>
    <hyperlink ref="M63" r:id="rId37" tooltip="4052.30400C" display="https://contracts.tractmanager.com/contracts/contractsummary.aspx?id=30400" xr:uid="{EB409E71-4D14-4DDC-A192-8AADBA15CCC6}"/>
    <hyperlink ref="M26" r:id="rId38" tooltip="4052.6437C" display="https://contracts.tractmanager.com/contracts/contractsummary.aspx?id=6437" xr:uid="{AB3C4B5B-5305-45E3-BBEC-ECEE067C3C2F}"/>
    <hyperlink ref="M10" r:id="rId39" tooltip="4052.16395C" display="https://contracts.tractmanager.com/contracts/contractsummary.aspx?id=16395" xr:uid="{18B9DE49-8DEE-4739-907E-F273506503D4}"/>
    <hyperlink ref="M81" r:id="rId40" tooltip="4052.13446C" display="https://contracts.tractmanager.com/contracts/contractsummary.aspx?id=13446" xr:uid="{EA9EC9BF-7541-4BAB-A3F8-B75C45EB605A}"/>
    <hyperlink ref="M46" r:id="rId41" tooltip="4052.4509C" display="https://contracts.tractmanager.com/contracts/contractsummary.aspx?id=4509" xr:uid="{F411F7FD-0381-4CBC-AD0F-662574637A20}"/>
    <hyperlink ref="M36" r:id="rId42" tooltip="4052.8623C" display="https://contracts.tractmanager.com/contracts/contractsummary.aspx?id=8623" xr:uid="{02863B36-7E64-4C94-8FEF-92ABE7B22513}"/>
    <hyperlink ref="M27" r:id="rId43" tooltip="4052.13446C" display="https://contracts.tractmanager.com/contracts/contractsummary.aspx?id=13446" xr:uid="{7BDC720A-52A9-4883-87D1-DD1325B933AE}"/>
    <hyperlink ref="M68" r:id="rId44" tooltip="4052.31156C" display="https://contracts.tractmanager.com/contracts/contractsummary.aspx?id=31156" xr:uid="{93DD32C0-CDAE-4F93-A413-7722248309EE}"/>
    <hyperlink ref="M31" r:id="rId45" tooltip="4052.4128C" display="https://contracts.tractmanager.com/contracts/contractsummary.aspx?id=4128" xr:uid="{ADE1FC97-EE40-45E6-A778-DCA4E2A748BF}"/>
    <hyperlink ref="M51" r:id="rId46" tooltip="4052.31156C" display="https://contracts.tractmanager.com/contracts/contractsummary.aspx?id=31156" xr:uid="{A6FA8401-A208-4D3F-AFB3-0A1F15B20825}"/>
    <hyperlink ref="M67" r:id="rId47" tooltip="4052.8474C" display="https://contracts.tractmanager.com/contracts/contractsummary.aspx?id=8474" xr:uid="{4ADBF831-AC47-48F5-B271-26100B3F7360}"/>
    <hyperlink ref="M35" r:id="rId48" tooltip="4052.8474C" display="https://contracts.tractmanager.com/contracts/contractsummary.aspx?id=8474" xr:uid="{2CB65CAD-0756-4181-8F3F-D66811F3320A}"/>
    <hyperlink ref="M64" r:id="rId49" tooltip="4052.4340C" display="https://contracts.tractmanager.com/contracts/contractsummary.aspx?id=4340" xr:uid="{671A4EC9-B0B4-4DC6-8A20-B773BE2FFC5B}"/>
    <hyperlink ref="M25" r:id="rId50" tooltip="4052.4340C" display="https://contracts.tractmanager.com/contracts/contractsummary.aspx?id=4340" xr:uid="{C5B19A7E-F961-40A9-96C1-154FD91E372B}"/>
    <hyperlink ref="M24" r:id="rId51" tooltip="4052.3435C" display="https://contracts.tractmanager.com/contracts/contractsummary.aspx?id=3435" xr:uid="{7BD4D43A-4EF9-49C5-85C5-0BC02AD3003E}"/>
    <hyperlink ref="M23" r:id="rId52" tooltip="4052.31156C" display="https://contracts.tractmanager.com/contracts/contractsummary.aspx?id=31156" xr:uid="{CCD9425C-EBE9-4EC2-9034-7931A9F6EA40}"/>
    <hyperlink ref="M22" r:id="rId53" tooltip="4052.4340C" display="https://contracts.tractmanager.com/contracts/contractsummary.aspx?id=4340" xr:uid="{958D613A-AB6E-46F4-B118-08B73ED98AB8}"/>
    <hyperlink ref="M21" r:id="rId54" tooltip="4052.15769C" display="https://contracts.tractmanager.com/contracts/contractsummary.aspx?id=15769" xr:uid="{69FD6B09-2DF9-4181-8441-6C02CD3513C8}"/>
    <hyperlink ref="M19" r:id="rId55" tooltip="4052.30400C" display="https://contracts.tractmanager.com/contracts/contractsummary.aspx?id=30400" xr:uid="{9C4C6880-B04C-4370-8E30-105C888FDFF7}"/>
    <hyperlink ref="M18" r:id="rId56" tooltip="4052.13446C" display="https://contracts.tractmanager.com/contracts/contractsummary.aspx?id=13446" xr:uid="{F9B76AC9-8AF2-4AAE-8F27-4807DA8DC32B}"/>
    <hyperlink ref="M17" r:id="rId57" tooltip="4052.7651C" display="https://contracts.tractmanager.com/contracts/contractsummary.aspx?id=7651" xr:uid="{9DA8CB5B-0855-42CC-8B31-8EBA86FEED94}"/>
    <hyperlink ref="M15" r:id="rId58" tooltip="4052.30387C" display="https://contracts.tractmanager.com/contracts/contractsummary.aspx?id=30387" xr:uid="{C16917EF-0B23-4DC9-AC3C-6F45BE17EE7B}"/>
    <hyperlink ref="M11" r:id="rId59" tooltip="4052.4507C" display="https://contracts.tractmanager.com/contracts/contractsummary.aspx?id=4507" xr:uid="{E29E2958-0D8B-4537-A532-55B4CA5D69E8}"/>
    <hyperlink ref="M4" r:id="rId60" tooltip="4052.31156C" display="https://contracts.tractmanager.com/contracts/contractsummary.aspx?id=31156" xr:uid="{021F89D2-1630-4EC9-9D38-CAF01F7CC44E}"/>
    <hyperlink ref="M7" r:id="rId61" tooltip="4052.4128C" display="https://contracts.tractmanager.com/contracts/contractsummary.aspx?id=4128" xr:uid="{BBAFF46E-6533-4D4F-96BB-C199A82CD98B}"/>
    <hyperlink ref="M92" r:id="rId62" tooltip="4052.12941C" display="https://contracts.tractmanager.com/contracts/contractsummary.aspx?id=12941" xr:uid="{9BE92357-00EC-41A8-9E13-AF345A5AE77E}"/>
    <hyperlink ref="M90" r:id="rId63" tooltip="4052.8583C" display="https://contracts.tractmanager.com/contracts/contractsummary.aspx?id=8583" xr:uid="{D902055B-89F3-4F25-8F42-CB34BEA93F4D}"/>
    <hyperlink ref="M95" r:id="rId64" tooltip="4052.5862C" display="https://contracts.tractmanager.com/contracts/contractsummary.aspx?id=5862" xr:uid="{BBE1E278-58A2-4D64-AEAC-5D2E22E6253F}"/>
    <hyperlink ref="M94" r:id="rId65" tooltip="4052.4129C" display="https://contracts.tractmanager.com/contracts/contractsummary.aspx?id=4129" xr:uid="{655B4E28-8A8D-4653-9E8D-EE05EB072C8E}"/>
    <hyperlink ref="M91" r:id="rId66" display="https://contracts.tractmanager.com/contracts/contractsummary.aspx?id=35277" xr:uid="{B12B5D08-0784-4759-BD33-55D324D9C65D}"/>
    <hyperlink ref="M97" r:id="rId67" display="https://contracts.tractmanager.com/contracts/contractsummary.aspx?id=4507" xr:uid="{F6B314C6-F486-4F40-86AB-7DE91D043B00}"/>
    <hyperlink ref="M96" r:id="rId68" display="https://contracts.tractmanager.com/contracts/contractsummary.aspx?id=25253" xr:uid="{9F36C61C-B054-4224-A134-77304F7C8244}"/>
    <hyperlink ref="M107" r:id="rId69" tooltip="4052.3570C" display="https://contracts.tractmanager.com/contracts/contractsummary.aspx?id=3570" xr:uid="{1077971F-F1AD-43DD-984D-CD52363E70B0}"/>
    <hyperlink ref="M105" r:id="rId70" tooltip="4052.31156C" display="https://contracts.tractmanager.com/contracts/contractsummary.aspx?id=31156" xr:uid="{FB571702-9138-4C15-BCAC-51AED3D573B5}"/>
    <hyperlink ref="M108" r:id="rId71" tooltip="4052.31156C" display="https://contracts.tractmanager.com/contracts/contractsummary.aspx?id=31156" xr:uid="{C500564B-3271-4BF0-BD83-B9E208BF7517}"/>
    <hyperlink ref="M110" r:id="rId72" tooltip="4052.8154C" display="https://contracts.tractmanager.com/contracts/contractsummary.aspx?id=8154" xr:uid="{67A2C025-8B1C-400C-9C6D-7553282463E2}"/>
    <hyperlink ref="M109" r:id="rId73" tooltip="4052.12590C" display="https://contracts.tractmanager.com/contracts/contractsummary.aspx?id=12590" xr:uid="{45835DEA-13B4-4DFA-9A95-A36054908C19}"/>
    <hyperlink ref="M2" r:id="rId74" tooltip="4052.12590C" display="https://contracts.tractmanager.com/contracts/contractsummary.aspx?id=12590" xr:uid="{83C3B9C8-9509-448F-885B-4D41B6C80EFB}"/>
    <hyperlink ref="M112" r:id="rId75" tooltip="4052.5862C" display="https://contracts.tractmanager.com/contracts/contractsummary.aspx?id=5862" xr:uid="{A21DD919-BBFB-4F5E-AB42-14DBAD8FDDD7}"/>
    <hyperlink ref="M8" r:id="rId76" display="https://contracts.tractmanager.com/contracts/contractsummary.aspx?id=27581" xr:uid="{31D3CF37-1652-4D6B-B058-D8C88A83BADE}"/>
    <hyperlink ref="M30" r:id="rId77" tooltip="4052.4128C" display="https://contracts.tractmanager.com/contracts/contractsummary.aspx?id=4128" xr:uid="{2DF9C1B8-0C80-4F66-B8C7-D0BA6CA9F7C0}"/>
    <hyperlink ref="M83" r:id="rId78" tooltip="4052.3435C" display="https://contracts.tractmanager.com/contracts/contractsummary.aspx?id=3435" xr:uid="{9247E650-1666-4836-ADA7-C8A5B2B694FD}"/>
    <hyperlink ref="M113" r:id="rId79" tooltip="4052.3522C" display="https://contracts.tractmanager.com/contracts/contractsummary.aspx?id=3522" xr:uid="{66E844FE-A127-449E-A59F-165DFAA77230}"/>
    <hyperlink ref="M20" r:id="rId80" tooltip="4052.30646C" display="https://contracts.tractmanager.com/contracts/contractsummary.aspx?id=30646" xr:uid="{AA9968AD-455B-4457-9633-F8898E947263}"/>
    <hyperlink ref="M116" r:id="rId81" tooltip="4052.3435C" display="https://contracts.tractmanager.com/contracts/contractsummary.aspx?id=3435" xr:uid="{4F8316AB-BBF6-4251-9789-F568E954EA7F}"/>
    <hyperlink ref="M75" r:id="rId82" tooltip="4052.27581C" display="https://contracts.tractmanager.com/contracts/contractsummary.aspx?id=27581" xr:uid="{5D8C1172-FAE2-483F-9ADF-ACD754FB75A5}"/>
    <hyperlink ref="M111" r:id="rId83" tooltip="4052.27581C" display="https://contracts.tractmanager.com/contracts/contractsummary.aspx?id=27581" xr:uid="{0733C151-4C63-490F-AD78-64120AD21F56}"/>
    <hyperlink ref="M74" r:id="rId84" tooltip="4052.16069C" display="https://contracts.tractmanager.com/contracts/contractsummary.aspx?id=16069" xr:uid="{486253A8-86EF-43A8-AED6-1FF4A8880F31}"/>
    <hyperlink ref="M119" r:id="rId85" tooltip="4052.8474C" display="https://contracts.tractmanager.com/contracts/contractsummary.aspx?id=8474" xr:uid="{9A943A11-C2ED-4958-9EF1-7FC3DBBCB2B6}"/>
    <hyperlink ref="M120" r:id="rId86" tooltip="4052.5862C" display="https://contracts.tractmanager.com/contracts/contractsummary.aspx?id=5862" xr:uid="{AEE2ADDF-D91E-4AD5-890B-FEC56B6FA2AB}"/>
    <hyperlink ref="M121" r:id="rId87" tooltip="4052.12941C" display="https://contracts.tractmanager.com/contracts/contractsummary.aspx?id=12941" xr:uid="{AF16A2E8-4ABF-458D-8202-7829B4EF1A9B}"/>
    <hyperlink ref="M122" r:id="rId88" display="https://contracts.tractmanager.com/contracts/contractsummary.aspx?id=25253" xr:uid="{186167C8-7668-40EB-B2BE-AB852CF884C6}"/>
    <hyperlink ref="M129" r:id="rId89" tooltip="4052.7651C" display="https://contracts.tractmanager.com/contracts/contractsummary.aspx?id=7651" xr:uid="{91AE16AD-8444-4A43-8442-736CE5F28B95}"/>
    <hyperlink ref="M131" r:id="rId90" tooltip="4052.27661C" display="https://contracts.tractmanager.com/contracts/contractsummary.aspx?id=27661" xr:uid="{6031E7DD-8E54-4CB7-B7D0-9E56FD341ED4}"/>
    <hyperlink ref="M133" r:id="rId91" tooltip="4052.31156C" display="https://contracts.tractmanager.com/contracts/contractsummary.aspx?id=31156" xr:uid="{7A76A813-9E1F-4B3C-A11A-138E0F3ADB0C}"/>
    <hyperlink ref="M137" r:id="rId92" tooltip="4052.16395C" display="https://contracts.tractmanager.com/contracts/contractsummary.aspx?id=16395" xr:uid="{59A2C777-3B98-47E9-8086-5220DE2A3CD6}"/>
    <hyperlink ref="M70" r:id="rId93" tooltip="4052.8469C" display="https://contracts.tractmanager.com/contracts/contractsummary.aspx?id=8469" xr:uid="{43864D35-F573-4C6D-911E-AD4EFF35D1A3}"/>
    <hyperlink ref="M132" r:id="rId94" tooltip="4052.29192A" display="https://contracts.tractmanager.com/contracts/contractsummary.aspx?id=29192" xr:uid="{E4639687-72E3-4DE4-B20D-D640EF52C318}"/>
    <hyperlink ref="M138" r:id="rId95" tooltip="4052.4509C" display="https://contracts.tractmanager.com/contracts/contractsummary.aspx?id=4509" xr:uid="{855B1AB8-4B86-454A-94D3-A9E8F5B67204}"/>
    <hyperlink ref="M140" r:id="rId96" tooltip="4052.8154C" display="https://contracts.tractmanager.com/contracts/contractsummary.aspx?id=8154" xr:uid="{6D1B5CF6-081F-4E8D-8E71-E20D881C9BB7}"/>
    <hyperlink ref="M139" r:id="rId97" tooltip="4052.5862C" display="https://contracts.tractmanager.com/contracts/contractsummary.aspx?id=5862" xr:uid="{C771BEB3-34D2-4E0F-B9EE-AC766DBF50BD}"/>
    <hyperlink ref="M135" r:id="rId98" tooltip="4052.4128C" display="https://contracts.tractmanager.com/contracts/contractsummary.aspx?id=4128" xr:uid="{D93DF890-A61E-4FE4-B3E2-294DB4F9A2BC}"/>
    <hyperlink ref="M146" r:id="rId99" tooltip="4052.2947C" display="https://contracts.tractmanager.com/contracts/contractsummary.aspx?id=2947" xr:uid="{44DDA1B5-3FC8-454D-9EFE-7D2C96013221}"/>
    <hyperlink ref="M98" r:id="rId100" tooltip="4052.4129C" display="https://contracts.tractmanager.com/contracts/contractsummary.aspx?id=4129" xr:uid="{94B46812-8838-46C5-8BCD-A00821BA49A6}"/>
    <hyperlink ref="M147" r:id="rId101" tooltip="4052.4129C" display="https://contracts.tractmanager.com/contracts/contractsummary.aspx?id=4129" xr:uid="{EDBDC1B2-1F49-44FA-A724-AF33BAD9462F}"/>
    <hyperlink ref="M141" r:id="rId102" tooltip="4052.13729C" display="https://contracts.tractmanager.com/contracts/contractsummary.aspx?id=13729" xr:uid="{40B943EA-325C-49B0-BFD7-B1ABCEA76E0E}"/>
    <hyperlink ref="M150" r:id="rId103" tooltip="4052.3570C" display="https://contracts.tractmanager.com/contracts/contractsummary.aspx?id=3570" xr:uid="{A3758A35-7954-4CC6-9D39-7FA670ADDAAC}"/>
    <hyperlink ref="M142" r:id="rId104" tooltip="4052.4340C" display="https://contracts.tractmanager.com/contracts/contractsummary.aspx?id=4340" xr:uid="{26B4CA2A-F635-434F-AD4C-55565AC7D452}"/>
    <hyperlink ref="M60" r:id="rId105" tooltip="4052.4507C" display="https://contracts.tractmanager.com/contracts/contractsummary.aspx?id=4507" xr:uid="{B61CDBBA-4C0A-4955-BB99-E3F73256FA6F}"/>
    <hyperlink ref="M57" r:id="rId106" tooltip="4052.7486C" display="https://contracts.tractmanager.com/contracts/contractsummary.aspx?id=7486" xr:uid="{F611790C-808A-4209-8550-C743A8576335}"/>
    <hyperlink ref="M56" r:id="rId107" tooltip="4052.2947C" display="https://contracts.tractmanager.com/contracts/contractsummary.aspx?id=2947" xr:uid="{655FDC41-6112-458E-B6B8-1625A7363AF7}"/>
    <hyperlink ref="M55" r:id="rId108" tooltip="4052.30387C" display="https://contracts.tractmanager.com/contracts/contractsummary.aspx?id=30387" xr:uid="{867C5001-669A-40B9-A24B-52A50B43EE03}"/>
    <hyperlink ref="M59" r:id="rId109" tooltip="4052.12590C" display="https://contracts.tractmanager.com/contracts/contractsummary.aspx?id=12590" xr:uid="{37620450-E9BA-4082-B476-ED8660C9B090}"/>
    <hyperlink ref="M61" r:id="rId110" tooltip="4052.4129C" display="https://contracts.tractmanager.com/contracts/contractsummary.aspx?id=4129" xr:uid="{DAAC0245-D522-44D9-B3E1-21BD0EF7E610}"/>
    <hyperlink ref="M54" r:id="rId111" tooltip="4052.30400C" display="https://contracts.tractmanager.com/contracts/contractsummary.aspx?id=30400" xr:uid="{81E0E847-9B5F-42D0-92C5-5E8F629E4240}"/>
    <hyperlink ref="M155" r:id="rId112" tooltip="4052.5862C" display="https://contracts.tractmanager.com/contracts/contractsummary.aspx?id=5862" xr:uid="{E217FB5A-C867-4702-9E4B-D8A3357D3181}"/>
    <hyperlink ref="M156" r:id="rId113" tooltip="4052.3522C" display="https://contracts.tractmanager.com/contracts/contractsummary.aspx?id=3522" xr:uid="{4AB92F26-6719-409F-B5D7-89370038273C}"/>
    <hyperlink ref="M157" r:id="rId114" display="https://contracts.tractmanager.com/contracts/contractsummary.aspx?id=25253" xr:uid="{335E0E2A-88E1-41E8-AB04-4DD369BBAA01}"/>
    <hyperlink ref="M152" r:id="rId115" tooltip="4052.31156C" display="https://contracts.tractmanager.com/contracts/contractsummary.aspx?id=31156" xr:uid="{1D2E4C61-EA90-4D05-A409-5EA2E467E8AA}"/>
    <hyperlink ref="M148" r:id="rId116" display="https://contracts.tractmanager.com/contracts/contractsummary.aspx?id=4507" xr:uid="{774779A6-E799-4B3C-90A9-407C3685A4E2}"/>
    <hyperlink ref="M165" r:id="rId117" tooltip="4052.8154C" display="https://contracts.tractmanager.com/contracts/contractsummary.aspx?id=8154" xr:uid="{D14DA6AF-75B5-4CAF-A7B9-67BA682441AC}"/>
    <hyperlink ref="M166" r:id="rId118" tooltip="4052.8154C" display="https://contracts.tractmanager.com/contracts/contractsummary.aspx?id=8154" xr:uid="{921F7BA3-BEF7-42B2-9A3D-860BA4191045}"/>
    <hyperlink ref="M168" r:id="rId119" tooltip="4052.3435C" display="https://contracts.tractmanager.com/contracts/contractsummary.aspx?id=3435" xr:uid="{3B8C1935-A068-4AA4-A5BE-702DB284704F}"/>
    <hyperlink ref="M173" r:id="rId120" tooltip="4052.5862C" display="https://contracts.tractmanager.com/contracts/contractsummary.aspx?id=5862" xr:uid="{C9F20B50-63D8-4BC8-9811-31218960515B}"/>
    <hyperlink ref="M177" r:id="rId121" tooltip="4052.4128C" display="https://contracts.tractmanager.com/contracts/contractsummary.aspx?id=4128" xr:uid="{55A95755-DBA0-4DFF-B922-BF599203E315}"/>
    <hyperlink ref="M176" r:id="rId122" tooltip="4052.4128C" display="https://contracts.tractmanager.com/contracts/contractsummary.aspx?id=4128" xr:uid="{A631180C-9720-4AC8-ACD4-6772315D62F9}"/>
    <hyperlink ref="M175" r:id="rId123" tooltip="4052.12941C" display="https://contracts.tractmanager.com/contracts/contractsummary.aspx?id=12941" xr:uid="{40030913-9D9A-4BD5-BEF0-DB8B65D52922}"/>
    <hyperlink ref="M181" r:id="rId124" tooltip="4052.4509C" display="https://contracts.tractmanager.com/contracts/contractsummary.aspx?id=4509" xr:uid="{C2A88DC1-EAA1-4F2C-8BB5-2378275337FF}"/>
    <hyperlink ref="M184" r:id="rId125" tooltip="4052.5862C" display="https://contracts.tractmanager.com/contracts/contractsummary.aspx?id=5862" xr:uid="{67181562-0CA4-4DA6-865C-86B27EB4E133}"/>
    <hyperlink ref="M185" r:id="rId126" tooltip="4052.4340C" display="https://contracts.tractmanager.com/contracts/contractsummary.aspx?id=4340" xr:uid="{2C43ECAF-A2C9-480F-B313-EFF8574EB643}"/>
  </hyperlinks>
  <pageMargins left="0.7" right="0.7" top="0.75" bottom="0.75" header="0.3" footer="0.3"/>
  <pageSetup orientation="portrait" horizontalDpi="1200" verticalDpi="1200" r:id="rId12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F337F-42C2-6441-85D6-D166938C9C3F}">
  <sheetPr filterMode="1"/>
  <dimension ref="A1:AR236"/>
  <sheetViews>
    <sheetView zoomScale="80" zoomScaleNormal="80" workbookViewId="0">
      <pane ySplit="1" topLeftCell="A23" activePane="bottomLeft" state="frozen"/>
      <selection pane="bottomLeft" activeCell="U23" sqref="U23"/>
    </sheetView>
  </sheetViews>
  <sheetFormatPr defaultColWidth="11" defaultRowHeight="15.6" x14ac:dyDescent="0.3"/>
  <cols>
    <col min="1" max="1" width="6.3984375" style="13" bestFit="1" customWidth="1"/>
    <col min="2" max="2" width="23.59765625" style="13" customWidth="1"/>
    <col min="3" max="3" width="21.69921875" style="13" customWidth="1"/>
    <col min="4" max="4" width="41.19921875" style="62" customWidth="1"/>
    <col min="5" max="5" width="36" style="62" hidden="1" customWidth="1"/>
    <col min="6" max="6" width="50.5" style="62" customWidth="1"/>
    <col min="7" max="7" width="17" style="62" customWidth="1"/>
    <col min="8" max="8" width="14" style="62" customWidth="1"/>
    <col min="9" max="9" width="13.3984375" style="62" customWidth="1"/>
    <col min="10" max="10" width="13.59765625" style="62" customWidth="1"/>
    <col min="11" max="11" width="13" style="62" customWidth="1"/>
    <col min="12" max="12" width="14.09765625" style="62" customWidth="1"/>
    <col min="13" max="13" width="14.3984375" style="11" customWidth="1"/>
    <col min="14" max="14" width="17.69921875" customWidth="1"/>
    <col min="15" max="15" width="15" bestFit="1" customWidth="1"/>
    <col min="16" max="16" width="17.8984375" style="135" customWidth="1"/>
    <col min="18" max="18" width="12.09765625" bestFit="1" customWidth="1"/>
    <col min="19" max="19" width="17.5" style="208" bestFit="1" customWidth="1"/>
    <col min="20" max="20" width="21.19921875" style="208" bestFit="1" customWidth="1"/>
    <col min="21" max="21" width="15.69921875" customWidth="1"/>
    <col min="23" max="23" width="28.69921875" style="11" customWidth="1"/>
    <col min="24" max="24" width="14.09765625" style="44" bestFit="1" customWidth="1"/>
    <col min="25" max="25" width="13.09765625" style="44" bestFit="1" customWidth="1"/>
    <col min="26" max="26" width="11.09765625" style="44" bestFit="1" customWidth="1"/>
    <col min="27" max="28" width="13.09765625" style="44" bestFit="1" customWidth="1"/>
    <col min="29" max="29" width="12.5" style="44" bestFit="1" customWidth="1"/>
    <col min="30" max="30" width="14.8984375" style="44" bestFit="1" customWidth="1"/>
    <col min="31" max="32" width="13.09765625" style="44" bestFit="1" customWidth="1"/>
    <col min="33" max="33" width="14.8984375" style="44" bestFit="1" customWidth="1"/>
    <col min="34" max="34" width="13.09765625" style="44" bestFit="1" customWidth="1"/>
    <col min="35" max="35" width="14.8984375" style="44" bestFit="1" customWidth="1"/>
    <col min="36" max="36" width="11.09765625" style="44" bestFit="1" customWidth="1"/>
    <col min="37" max="37" width="14.59765625" style="204" customWidth="1"/>
    <col min="38" max="38" width="14" style="44" bestFit="1" customWidth="1"/>
    <col min="44" max="44" width="11.5" bestFit="1" customWidth="1"/>
  </cols>
  <sheetData>
    <row r="1" spans="1:38" s="5" customFormat="1" ht="79.5" customHeight="1" x14ac:dyDescent="0.3">
      <c r="A1" s="4" t="s">
        <v>171</v>
      </c>
      <c r="B1" s="16" t="s">
        <v>45</v>
      </c>
      <c r="C1" s="16" t="s">
        <v>46</v>
      </c>
      <c r="D1" s="16" t="s">
        <v>766</v>
      </c>
      <c r="E1" s="8" t="s">
        <v>945</v>
      </c>
      <c r="F1" s="263" t="s">
        <v>972</v>
      </c>
      <c r="G1" s="8" t="s">
        <v>859</v>
      </c>
      <c r="H1" s="16" t="s">
        <v>860</v>
      </c>
      <c r="I1" s="16" t="s">
        <v>861</v>
      </c>
      <c r="J1" s="16" t="s">
        <v>857</v>
      </c>
      <c r="K1" s="16" t="s">
        <v>858</v>
      </c>
      <c r="L1" s="16" t="s">
        <v>866</v>
      </c>
      <c r="M1" s="51" t="s">
        <v>899</v>
      </c>
      <c r="N1" s="16" t="s">
        <v>48</v>
      </c>
      <c r="O1" s="16" t="s">
        <v>49</v>
      </c>
      <c r="P1" s="16" t="s">
        <v>50</v>
      </c>
      <c r="Q1" s="16" t="s">
        <v>165</v>
      </c>
      <c r="R1" s="16" t="s">
        <v>258</v>
      </c>
      <c r="S1" s="209" t="s">
        <v>51</v>
      </c>
      <c r="T1" s="210" t="s">
        <v>249</v>
      </c>
      <c r="U1" s="17" t="s">
        <v>52</v>
      </c>
      <c r="V1" s="18" t="s">
        <v>53</v>
      </c>
      <c r="W1" s="8" t="s">
        <v>86</v>
      </c>
      <c r="X1" s="195" t="s">
        <v>59</v>
      </c>
      <c r="Y1" s="195" t="s">
        <v>58</v>
      </c>
      <c r="Z1" s="195" t="s">
        <v>60</v>
      </c>
      <c r="AA1" s="195" t="s">
        <v>56</v>
      </c>
      <c r="AB1" s="195" t="s">
        <v>61</v>
      </c>
      <c r="AC1" s="195" t="s">
        <v>62</v>
      </c>
      <c r="AD1" s="195" t="s">
        <v>63</v>
      </c>
      <c r="AE1" s="195" t="s">
        <v>55</v>
      </c>
      <c r="AF1" s="195" t="s">
        <v>64</v>
      </c>
      <c r="AG1" s="195" t="s">
        <v>54</v>
      </c>
      <c r="AH1" s="195" t="s">
        <v>65</v>
      </c>
      <c r="AI1" s="195" t="s">
        <v>57</v>
      </c>
      <c r="AJ1" s="195" t="s">
        <v>66</v>
      </c>
      <c r="AK1" s="196" t="s">
        <v>161</v>
      </c>
      <c r="AL1" s="197" t="s">
        <v>162</v>
      </c>
    </row>
    <row r="2" spans="1:38" s="165" customFormat="1" ht="151.80000000000001" hidden="1" x14ac:dyDescent="0.3">
      <c r="A2" s="165">
        <v>1</v>
      </c>
      <c r="B2" s="58" t="s">
        <v>96</v>
      </c>
      <c r="C2" s="61" t="s">
        <v>230</v>
      </c>
      <c r="D2" s="58" t="s">
        <v>97</v>
      </c>
      <c r="E2" s="61" t="s">
        <v>932</v>
      </c>
      <c r="F2" s="231" t="s">
        <v>372</v>
      </c>
      <c r="G2" s="59">
        <v>46</v>
      </c>
      <c r="H2" s="107">
        <v>43839</v>
      </c>
      <c r="I2" s="107">
        <v>46052</v>
      </c>
      <c r="J2" s="107">
        <v>43831</v>
      </c>
      <c r="K2" s="107">
        <v>44986</v>
      </c>
      <c r="L2" s="59" t="s">
        <v>295</v>
      </c>
      <c r="M2" s="179" t="s">
        <v>371</v>
      </c>
      <c r="N2" s="153" t="s">
        <v>1</v>
      </c>
      <c r="O2" s="169">
        <v>45293</v>
      </c>
      <c r="P2" s="170" t="s">
        <v>98</v>
      </c>
      <c r="Q2" s="171"/>
      <c r="R2" s="172"/>
      <c r="S2" s="181">
        <f>57000+53750+92250+60250+33500+99000+97250+46750+50250+62250+132250+84000+46500</f>
        <v>915000</v>
      </c>
      <c r="T2" s="181">
        <v>915000</v>
      </c>
      <c r="U2" s="102" t="s">
        <v>3</v>
      </c>
      <c r="V2" s="102"/>
      <c r="W2" s="154"/>
      <c r="X2" s="198"/>
      <c r="Y2" s="198"/>
      <c r="Z2" s="198"/>
      <c r="AA2" s="198"/>
      <c r="AB2" s="198"/>
      <c r="AC2" s="198">
        <v>915000</v>
      </c>
      <c r="AD2" s="198"/>
      <c r="AE2" s="198"/>
      <c r="AF2" s="198"/>
      <c r="AG2" s="198"/>
      <c r="AH2" s="198"/>
      <c r="AI2" s="198"/>
      <c r="AJ2" s="198"/>
      <c r="AK2" s="198">
        <f t="shared" ref="AK2:AK36" si="0">SUM(X2:AJ2)</f>
        <v>915000</v>
      </c>
      <c r="AL2" s="198">
        <f t="shared" ref="AL2:AL33" si="1">AK2-S2</f>
        <v>0</v>
      </c>
    </row>
    <row r="3" spans="1:38" s="165" customFormat="1" ht="41.4" hidden="1" x14ac:dyDescent="0.3">
      <c r="A3" s="165">
        <v>2</v>
      </c>
      <c r="B3" s="61" t="s">
        <v>17</v>
      </c>
      <c r="C3" s="61" t="s">
        <v>17</v>
      </c>
      <c r="D3" s="109" t="s">
        <v>82</v>
      </c>
      <c r="E3" s="162" t="s">
        <v>878</v>
      </c>
      <c r="F3" s="265" t="s">
        <v>306</v>
      </c>
      <c r="G3" s="94">
        <v>12</v>
      </c>
      <c r="H3" s="85">
        <v>41852</v>
      </c>
      <c r="I3" s="85">
        <v>46599</v>
      </c>
      <c r="J3" s="136"/>
      <c r="K3" s="136"/>
      <c r="L3" s="59" t="s">
        <v>295</v>
      </c>
      <c r="M3" s="174" t="s">
        <v>305</v>
      </c>
      <c r="N3" s="61" t="s">
        <v>19</v>
      </c>
      <c r="O3" s="175">
        <v>45294</v>
      </c>
      <c r="P3" s="61" t="s">
        <v>2</v>
      </c>
      <c r="Q3" s="61" t="s">
        <v>168</v>
      </c>
      <c r="R3" s="61"/>
      <c r="S3" s="316">
        <v>841399</v>
      </c>
      <c r="T3" s="181" t="s">
        <v>244</v>
      </c>
      <c r="U3" s="109" t="s">
        <v>3</v>
      </c>
      <c r="V3" s="109"/>
      <c r="W3" s="155"/>
      <c r="X3" s="199"/>
      <c r="Y3" s="199"/>
      <c r="Z3" s="199"/>
      <c r="AA3" s="199"/>
      <c r="AB3" s="199"/>
      <c r="AC3" s="199">
        <v>841399</v>
      </c>
      <c r="AD3" s="199"/>
      <c r="AE3" s="199"/>
      <c r="AF3" s="199"/>
      <c r="AG3" s="199"/>
      <c r="AH3" s="199"/>
      <c r="AI3" s="199"/>
      <c r="AJ3" s="199"/>
      <c r="AK3" s="198">
        <f t="shared" si="0"/>
        <v>841399</v>
      </c>
      <c r="AL3" s="198">
        <f t="shared" si="1"/>
        <v>0</v>
      </c>
    </row>
    <row r="4" spans="1:38" s="165" customFormat="1" ht="41.4" hidden="1" x14ac:dyDescent="0.3">
      <c r="A4" s="165">
        <v>3</v>
      </c>
      <c r="B4" s="58" t="s">
        <v>0</v>
      </c>
      <c r="C4" s="58" t="s">
        <v>0</v>
      </c>
      <c r="D4" s="58" t="s">
        <v>1146</v>
      </c>
      <c r="E4" s="163" t="s">
        <v>814</v>
      </c>
      <c r="F4" s="102" t="s">
        <v>1005</v>
      </c>
      <c r="G4" s="94">
        <v>154</v>
      </c>
      <c r="H4" s="85">
        <v>43082</v>
      </c>
      <c r="I4" s="85">
        <v>46507</v>
      </c>
      <c r="J4" s="107">
        <v>45139</v>
      </c>
      <c r="K4" s="107">
        <v>45230</v>
      </c>
      <c r="L4" s="59" t="s">
        <v>295</v>
      </c>
      <c r="M4" s="174" t="s">
        <v>813</v>
      </c>
      <c r="N4" s="58" t="s">
        <v>1</v>
      </c>
      <c r="O4" s="176">
        <v>45296</v>
      </c>
      <c r="P4" s="58" t="s">
        <v>2</v>
      </c>
      <c r="Q4" s="58" t="s">
        <v>166</v>
      </c>
      <c r="R4" s="58"/>
      <c r="S4" s="318">
        <v>45360</v>
      </c>
      <c r="T4" s="181"/>
      <c r="U4" s="58" t="s">
        <v>3</v>
      </c>
      <c r="V4" s="58"/>
      <c r="W4" s="164"/>
      <c r="X4" s="200"/>
      <c r="Y4" s="200"/>
      <c r="Z4" s="200"/>
      <c r="AA4" s="198"/>
      <c r="AB4" s="198"/>
      <c r="AC4" s="198">
        <v>30596.15</v>
      </c>
      <c r="AD4" s="198">
        <v>14763.85</v>
      </c>
      <c r="AE4" s="198"/>
      <c r="AF4" s="198"/>
      <c r="AG4" s="198"/>
      <c r="AH4" s="198"/>
      <c r="AI4" s="198"/>
      <c r="AJ4" s="198"/>
      <c r="AK4" s="198">
        <f t="shared" si="0"/>
        <v>45360</v>
      </c>
      <c r="AL4" s="198">
        <f t="shared" si="1"/>
        <v>0</v>
      </c>
    </row>
    <row r="5" spans="1:38" s="165" customFormat="1" ht="41.4" hidden="1" x14ac:dyDescent="0.3">
      <c r="A5" s="165">
        <v>4</v>
      </c>
      <c r="B5" s="58" t="s">
        <v>17</v>
      </c>
      <c r="C5" s="58" t="s">
        <v>17</v>
      </c>
      <c r="D5" s="102" t="s">
        <v>227</v>
      </c>
      <c r="E5" s="102" t="s">
        <v>878</v>
      </c>
      <c r="F5" s="231" t="s">
        <v>306</v>
      </c>
      <c r="G5" s="94">
        <v>12</v>
      </c>
      <c r="H5" s="85">
        <v>41852</v>
      </c>
      <c r="I5" s="85">
        <v>46599</v>
      </c>
      <c r="J5" s="85">
        <v>45136</v>
      </c>
      <c r="K5" s="85">
        <v>45226</v>
      </c>
      <c r="L5" s="94" t="s">
        <v>295</v>
      </c>
      <c r="M5" s="190" t="s">
        <v>305</v>
      </c>
      <c r="N5" s="58" t="s">
        <v>1</v>
      </c>
      <c r="O5" s="119">
        <v>45299</v>
      </c>
      <c r="P5" s="58" t="s">
        <v>98</v>
      </c>
      <c r="Q5" s="58"/>
      <c r="R5" s="58"/>
      <c r="S5" s="316">
        <v>9000</v>
      </c>
      <c r="T5" s="181">
        <v>9000</v>
      </c>
      <c r="U5" s="102" t="s">
        <v>3</v>
      </c>
      <c r="V5" s="102"/>
      <c r="W5" s="154"/>
      <c r="X5" s="198"/>
      <c r="Y5" s="198"/>
      <c r="Z5" s="200"/>
      <c r="AA5" s="198"/>
      <c r="AB5" s="198"/>
      <c r="AC5" s="198">
        <v>9000</v>
      </c>
      <c r="AD5" s="198"/>
      <c r="AE5" s="198"/>
      <c r="AF5" s="198"/>
      <c r="AG5" s="198"/>
      <c r="AH5" s="198"/>
      <c r="AI5" s="198"/>
      <c r="AJ5" s="198"/>
      <c r="AK5" s="198">
        <f t="shared" si="0"/>
        <v>9000</v>
      </c>
      <c r="AL5" s="198">
        <f t="shared" si="1"/>
        <v>0</v>
      </c>
    </row>
    <row r="6" spans="1:38" s="165" customFormat="1" ht="262.2" hidden="1" x14ac:dyDescent="0.3">
      <c r="A6" s="165">
        <v>5</v>
      </c>
      <c r="B6" s="61" t="s">
        <v>99</v>
      </c>
      <c r="C6" s="58" t="s">
        <v>100</v>
      </c>
      <c r="D6" s="58" t="s">
        <v>284</v>
      </c>
      <c r="E6" s="102" t="s">
        <v>768</v>
      </c>
      <c r="F6" s="231" t="s">
        <v>444</v>
      </c>
      <c r="G6" s="136">
        <v>90</v>
      </c>
      <c r="H6" s="85">
        <v>41108</v>
      </c>
      <c r="I6" s="85">
        <v>46203</v>
      </c>
      <c r="J6" s="94"/>
      <c r="K6" s="94"/>
      <c r="L6" s="137" t="s">
        <v>295</v>
      </c>
      <c r="M6" s="91" t="s">
        <v>283</v>
      </c>
      <c r="N6" s="157" t="s">
        <v>1</v>
      </c>
      <c r="O6" s="176">
        <v>45301</v>
      </c>
      <c r="P6" s="58" t="s">
        <v>101</v>
      </c>
      <c r="Q6" s="58"/>
      <c r="R6" s="58"/>
      <c r="S6" s="181">
        <v>7000</v>
      </c>
      <c r="T6" s="181"/>
      <c r="U6" s="58" t="s">
        <v>3</v>
      </c>
      <c r="V6" s="58"/>
      <c r="W6" s="161"/>
      <c r="X6" s="198"/>
      <c r="Y6" s="198"/>
      <c r="Z6" s="198"/>
      <c r="AA6" s="198"/>
      <c r="AB6" s="198"/>
      <c r="AC6" s="201">
        <v>7000</v>
      </c>
      <c r="AD6" s="198"/>
      <c r="AE6" s="198"/>
      <c r="AF6" s="198"/>
      <c r="AG6" s="198"/>
      <c r="AH6" s="198"/>
      <c r="AI6" s="198"/>
      <c r="AJ6" s="198"/>
      <c r="AK6" s="198">
        <f t="shared" si="0"/>
        <v>7000</v>
      </c>
      <c r="AL6" s="198">
        <f t="shared" si="1"/>
        <v>0</v>
      </c>
    </row>
    <row r="7" spans="1:38" s="165" customFormat="1" ht="372.6" hidden="1" x14ac:dyDescent="0.3">
      <c r="A7" s="165">
        <v>6</v>
      </c>
      <c r="B7" s="61" t="s">
        <v>30</v>
      </c>
      <c r="C7" s="61" t="s">
        <v>30</v>
      </c>
      <c r="D7" s="61" t="s">
        <v>78</v>
      </c>
      <c r="E7" s="102" t="s">
        <v>772</v>
      </c>
      <c r="F7" s="231" t="s">
        <v>375</v>
      </c>
      <c r="G7" s="94">
        <v>176</v>
      </c>
      <c r="H7" s="85">
        <v>45108</v>
      </c>
      <c r="I7" s="85">
        <v>46446</v>
      </c>
      <c r="J7" s="85">
        <v>45200</v>
      </c>
      <c r="K7" s="85">
        <v>45291</v>
      </c>
      <c r="L7" s="85" t="s">
        <v>295</v>
      </c>
      <c r="M7" s="183" t="s">
        <v>374</v>
      </c>
      <c r="N7" s="61" t="s">
        <v>5</v>
      </c>
      <c r="O7" s="178">
        <v>45313</v>
      </c>
      <c r="P7" s="61" t="s">
        <v>2</v>
      </c>
      <c r="Q7" s="61" t="s">
        <v>168</v>
      </c>
      <c r="R7" s="61"/>
      <c r="S7" s="325">
        <v>31500</v>
      </c>
      <c r="T7" s="211"/>
      <c r="U7" s="61" t="s">
        <v>3</v>
      </c>
      <c r="V7" s="61"/>
      <c r="W7" s="155"/>
      <c r="X7" s="202"/>
      <c r="Y7" s="202"/>
      <c r="Z7" s="202"/>
      <c r="AA7" s="199"/>
      <c r="AB7" s="199"/>
      <c r="AC7" s="199">
        <v>31500</v>
      </c>
      <c r="AD7" s="199"/>
      <c r="AE7" s="199"/>
      <c r="AF7" s="199"/>
      <c r="AG7" s="199"/>
      <c r="AH7" s="199"/>
      <c r="AI7" s="199"/>
      <c r="AJ7" s="199"/>
      <c r="AK7" s="198">
        <f t="shared" si="0"/>
        <v>31500</v>
      </c>
      <c r="AL7" s="198">
        <f t="shared" si="1"/>
        <v>0</v>
      </c>
    </row>
    <row r="8" spans="1:38" s="165" customFormat="1" ht="262.2" hidden="1" x14ac:dyDescent="0.3">
      <c r="A8" s="165">
        <v>7</v>
      </c>
      <c r="B8" s="61" t="s">
        <v>99</v>
      </c>
      <c r="C8" s="58" t="s">
        <v>100</v>
      </c>
      <c r="D8" s="58" t="s">
        <v>284</v>
      </c>
      <c r="E8" s="102" t="s">
        <v>768</v>
      </c>
      <c r="F8" s="231" t="s">
        <v>444</v>
      </c>
      <c r="G8" s="136">
        <v>90</v>
      </c>
      <c r="H8" s="85">
        <v>41108</v>
      </c>
      <c r="I8" s="85">
        <v>46203</v>
      </c>
      <c r="J8" s="94"/>
      <c r="K8" s="94"/>
      <c r="L8" s="137" t="s">
        <v>295</v>
      </c>
      <c r="M8" s="91" t="s">
        <v>283</v>
      </c>
      <c r="N8" s="157" t="s">
        <v>1</v>
      </c>
      <c r="O8" s="176">
        <v>45313</v>
      </c>
      <c r="P8" s="58" t="s">
        <v>101</v>
      </c>
      <c r="Q8" s="58"/>
      <c r="R8" s="58"/>
      <c r="S8" s="181">
        <v>3800</v>
      </c>
      <c r="T8" s="181"/>
      <c r="U8" s="58" t="s">
        <v>3</v>
      </c>
      <c r="V8" s="58"/>
      <c r="W8" s="161"/>
      <c r="X8" s="202"/>
      <c r="Y8" s="198"/>
      <c r="Z8" s="198"/>
      <c r="AA8" s="198"/>
      <c r="AB8" s="198"/>
      <c r="AC8" s="201">
        <v>3800</v>
      </c>
      <c r="AD8" s="198"/>
      <c r="AE8" s="198"/>
      <c r="AF8" s="198"/>
      <c r="AG8" s="198"/>
      <c r="AH8" s="198"/>
      <c r="AI8" s="198"/>
      <c r="AJ8" s="198"/>
      <c r="AK8" s="198">
        <f t="shared" si="0"/>
        <v>3800</v>
      </c>
      <c r="AL8" s="198">
        <f t="shared" si="1"/>
        <v>0</v>
      </c>
    </row>
    <row r="9" spans="1:38" s="165" customFormat="1" ht="27.6" hidden="1" x14ac:dyDescent="0.3">
      <c r="A9" s="165">
        <v>8</v>
      </c>
      <c r="B9" s="61" t="s">
        <v>0</v>
      </c>
      <c r="C9" s="61" t="s">
        <v>0</v>
      </c>
      <c r="D9" s="61" t="s">
        <v>91</v>
      </c>
      <c r="E9" s="61" t="s">
        <v>943</v>
      </c>
      <c r="F9" s="61" t="s">
        <v>1004</v>
      </c>
      <c r="G9" s="59">
        <v>547</v>
      </c>
      <c r="H9" s="107">
        <v>45200</v>
      </c>
      <c r="I9" s="107">
        <v>46660</v>
      </c>
      <c r="J9" s="107">
        <v>44743</v>
      </c>
      <c r="K9" s="107">
        <v>44834</v>
      </c>
      <c r="L9" s="59" t="s">
        <v>295</v>
      </c>
      <c r="M9" s="179" t="s">
        <v>942</v>
      </c>
      <c r="N9" s="146" t="s">
        <v>90</v>
      </c>
      <c r="O9" s="178">
        <v>45314</v>
      </c>
      <c r="P9" s="61" t="s">
        <v>98</v>
      </c>
      <c r="Q9" s="61" t="s">
        <v>167</v>
      </c>
      <c r="R9" s="61"/>
      <c r="S9" s="318">
        <v>1069.5</v>
      </c>
      <c r="T9" s="212">
        <v>503019.5</v>
      </c>
      <c r="U9" s="61" t="s">
        <v>8</v>
      </c>
      <c r="V9" s="61"/>
      <c r="X9" s="199"/>
      <c r="Y9" s="199"/>
      <c r="Z9" s="199"/>
      <c r="AA9" s="199"/>
      <c r="AB9" s="199"/>
      <c r="AC9" s="199">
        <v>1069.5</v>
      </c>
      <c r="AD9" s="199"/>
      <c r="AE9" s="199"/>
      <c r="AF9" s="199"/>
      <c r="AG9" s="199"/>
      <c r="AH9" s="199"/>
      <c r="AI9" s="199"/>
      <c r="AJ9" s="199"/>
      <c r="AK9" s="198">
        <f t="shared" si="0"/>
        <v>1069.5</v>
      </c>
      <c r="AL9" s="198">
        <f t="shared" si="1"/>
        <v>0</v>
      </c>
    </row>
    <row r="10" spans="1:38" s="161" customFormat="1" ht="110.4" hidden="1" x14ac:dyDescent="0.3">
      <c r="A10" s="165">
        <v>9</v>
      </c>
      <c r="B10" s="61" t="s">
        <v>0</v>
      </c>
      <c r="C10" s="61" t="s">
        <v>0</v>
      </c>
      <c r="D10" s="61" t="s">
        <v>13</v>
      </c>
      <c r="E10" s="163" t="s">
        <v>779</v>
      </c>
      <c r="F10" s="231" t="s">
        <v>424</v>
      </c>
      <c r="G10" s="136">
        <v>80</v>
      </c>
      <c r="H10" s="85">
        <v>41699</v>
      </c>
      <c r="I10" s="85">
        <v>46418</v>
      </c>
      <c r="J10" s="107">
        <v>44743</v>
      </c>
      <c r="K10" s="107">
        <v>44834</v>
      </c>
      <c r="L10" s="59" t="s">
        <v>295</v>
      </c>
      <c r="M10" s="174" t="s">
        <v>423</v>
      </c>
      <c r="N10" s="61" t="s">
        <v>90</v>
      </c>
      <c r="O10" s="178">
        <v>45314</v>
      </c>
      <c r="P10" s="61" t="s">
        <v>2</v>
      </c>
      <c r="Q10" s="61" t="s">
        <v>168</v>
      </c>
      <c r="R10" s="61"/>
      <c r="S10" s="318">
        <v>501950</v>
      </c>
      <c r="T10" s="212">
        <v>503019.5</v>
      </c>
      <c r="U10" s="61" t="s">
        <v>8</v>
      </c>
      <c r="V10" s="61"/>
      <c r="W10" s="147"/>
      <c r="X10" s="202">
        <f>23800+2000+19050</f>
        <v>44850</v>
      </c>
      <c r="Y10" s="202"/>
      <c r="Z10" s="202"/>
      <c r="AA10" s="199"/>
      <c r="AB10" s="199"/>
      <c r="AC10" s="199">
        <f>99400+58800+67500</f>
        <v>225700</v>
      </c>
      <c r="AD10" s="199">
        <f>55800+7600</f>
        <v>63400</v>
      </c>
      <c r="AE10" s="199">
        <f>35200+3600</f>
        <v>38800</v>
      </c>
      <c r="AF10" s="199"/>
      <c r="AG10" s="199"/>
      <c r="AH10" s="199"/>
      <c r="AI10" s="199">
        <f>121800+7400</f>
        <v>129200</v>
      </c>
      <c r="AJ10" s="199"/>
      <c r="AK10" s="198">
        <f t="shared" si="0"/>
        <v>501950</v>
      </c>
      <c r="AL10" s="198">
        <f t="shared" si="1"/>
        <v>0</v>
      </c>
    </row>
    <row r="11" spans="1:38" s="165" customFormat="1" ht="13.8" hidden="1" x14ac:dyDescent="0.3">
      <c r="A11" s="165">
        <v>10</v>
      </c>
      <c r="B11" s="58" t="s">
        <v>4</v>
      </c>
      <c r="C11" s="58" t="s">
        <v>4</v>
      </c>
      <c r="D11" s="58" t="s">
        <v>905</v>
      </c>
      <c r="E11" s="138" t="s">
        <v>904</v>
      </c>
      <c r="F11" s="138" t="s">
        <v>1006</v>
      </c>
      <c r="G11" s="59">
        <v>124</v>
      </c>
      <c r="H11" s="107">
        <v>42423</v>
      </c>
      <c r="I11" s="107">
        <v>46022</v>
      </c>
      <c r="J11" s="107">
        <v>45200</v>
      </c>
      <c r="K11" s="107">
        <v>45291</v>
      </c>
      <c r="L11" s="59" t="s">
        <v>295</v>
      </c>
      <c r="M11" s="184" t="s">
        <v>529</v>
      </c>
      <c r="N11" s="58" t="s">
        <v>5</v>
      </c>
      <c r="O11" s="176">
        <v>45314</v>
      </c>
      <c r="P11" s="58" t="s">
        <v>2</v>
      </c>
      <c r="Q11" s="58" t="s">
        <v>680</v>
      </c>
      <c r="R11" s="58"/>
      <c r="S11" s="181">
        <v>3750</v>
      </c>
      <c r="T11" s="181"/>
      <c r="U11" s="58" t="s">
        <v>3</v>
      </c>
      <c r="V11" s="58"/>
      <c r="W11" s="156"/>
      <c r="X11" s="200"/>
      <c r="Y11" s="200"/>
      <c r="Z11" s="202"/>
      <c r="AA11" s="198"/>
      <c r="AB11" s="198"/>
      <c r="AC11" s="198">
        <v>2250</v>
      </c>
      <c r="AD11" s="198">
        <v>450</v>
      </c>
      <c r="AE11" s="198">
        <v>300</v>
      </c>
      <c r="AF11" s="198"/>
      <c r="AG11" s="198">
        <v>750</v>
      </c>
      <c r="AH11" s="198"/>
      <c r="AI11" s="198"/>
      <c r="AJ11" s="198"/>
      <c r="AK11" s="198">
        <f t="shared" si="0"/>
        <v>3750</v>
      </c>
      <c r="AL11" s="198">
        <f t="shared" si="1"/>
        <v>0</v>
      </c>
    </row>
    <row r="12" spans="1:38" s="165" customFormat="1" ht="151.80000000000001" hidden="1" x14ac:dyDescent="0.3">
      <c r="A12" s="165">
        <v>11</v>
      </c>
      <c r="B12" s="61" t="s">
        <v>96</v>
      </c>
      <c r="C12" s="61" t="s">
        <v>230</v>
      </c>
      <c r="D12" s="58" t="s">
        <v>963</v>
      </c>
      <c r="E12" s="61" t="s">
        <v>932</v>
      </c>
      <c r="F12" s="231" t="s">
        <v>372</v>
      </c>
      <c r="G12" s="59">
        <v>46</v>
      </c>
      <c r="H12" s="107">
        <v>43839</v>
      </c>
      <c r="I12" s="107">
        <v>46052</v>
      </c>
      <c r="J12" s="107">
        <v>45017</v>
      </c>
      <c r="K12" s="107">
        <v>45291</v>
      </c>
      <c r="L12" s="59" t="s">
        <v>295</v>
      </c>
      <c r="M12" s="179" t="s">
        <v>371</v>
      </c>
      <c r="N12" s="146" t="s">
        <v>1</v>
      </c>
      <c r="O12" s="178">
        <v>45314</v>
      </c>
      <c r="P12" s="61" t="s">
        <v>98</v>
      </c>
      <c r="Q12" s="61"/>
      <c r="R12" s="61"/>
      <c r="S12" s="181">
        <v>130750</v>
      </c>
      <c r="T12" s="181">
        <v>130750</v>
      </c>
      <c r="U12" s="61" t="s">
        <v>3</v>
      </c>
      <c r="V12" s="61"/>
      <c r="W12" s="165" t="s">
        <v>961</v>
      </c>
      <c r="X12" s="199"/>
      <c r="Y12" s="199"/>
      <c r="Z12" s="199"/>
      <c r="AA12" s="199"/>
      <c r="AB12" s="199"/>
      <c r="AC12" s="199">
        <v>130750</v>
      </c>
      <c r="AD12" s="199"/>
      <c r="AE12" s="199"/>
      <c r="AF12" s="199"/>
      <c r="AG12" s="199"/>
      <c r="AH12" s="199"/>
      <c r="AI12" s="199"/>
      <c r="AJ12" s="199"/>
      <c r="AK12" s="198">
        <f t="shared" si="0"/>
        <v>130750</v>
      </c>
      <c r="AL12" s="198">
        <f t="shared" si="1"/>
        <v>0</v>
      </c>
    </row>
    <row r="13" spans="1:38" s="165" customFormat="1" ht="13.8" hidden="1" x14ac:dyDescent="0.3">
      <c r="A13" s="165">
        <v>12</v>
      </c>
      <c r="B13" s="61" t="s">
        <v>14</v>
      </c>
      <c r="C13" s="61" t="s">
        <v>14</v>
      </c>
      <c r="D13" s="61" t="s">
        <v>102</v>
      </c>
      <c r="E13" s="139" t="s">
        <v>102</v>
      </c>
      <c r="F13" s="139" t="s">
        <v>973</v>
      </c>
      <c r="G13" s="59" t="s">
        <v>879</v>
      </c>
      <c r="H13" s="59"/>
      <c r="I13" s="59"/>
      <c r="J13" s="59"/>
      <c r="K13" s="59"/>
      <c r="L13" s="59" t="s">
        <v>901</v>
      </c>
      <c r="M13" s="61"/>
      <c r="N13" s="61" t="s">
        <v>1</v>
      </c>
      <c r="O13" s="178">
        <v>45320</v>
      </c>
      <c r="P13" s="61" t="s">
        <v>98</v>
      </c>
      <c r="Q13" s="61"/>
      <c r="R13" s="61"/>
      <c r="S13" s="181">
        <v>18770</v>
      </c>
      <c r="T13" s="181"/>
      <c r="U13" s="61" t="s">
        <v>3</v>
      </c>
      <c r="V13" s="61"/>
      <c r="X13" s="199"/>
      <c r="Y13" s="199"/>
      <c r="Z13" s="199"/>
      <c r="AA13" s="199"/>
      <c r="AB13" s="199"/>
      <c r="AC13" s="199">
        <v>18770</v>
      </c>
      <c r="AD13" s="199"/>
      <c r="AE13" s="199"/>
      <c r="AF13" s="199"/>
      <c r="AG13" s="199"/>
      <c r="AH13" s="199"/>
      <c r="AI13" s="199"/>
      <c r="AJ13" s="199"/>
      <c r="AK13" s="198">
        <f t="shared" si="0"/>
        <v>18770</v>
      </c>
      <c r="AL13" s="198">
        <f t="shared" si="1"/>
        <v>0</v>
      </c>
    </row>
    <row r="14" spans="1:38" s="165" customFormat="1" ht="193.2" hidden="1" x14ac:dyDescent="0.3">
      <c r="A14" s="165">
        <v>13</v>
      </c>
      <c r="B14" s="61" t="s">
        <v>103</v>
      </c>
      <c r="C14" s="58" t="s">
        <v>103</v>
      </c>
      <c r="D14" s="58" t="s">
        <v>104</v>
      </c>
      <c r="E14" s="109" t="s">
        <v>869</v>
      </c>
      <c r="F14" s="231" t="s">
        <v>974</v>
      </c>
      <c r="G14" s="94">
        <v>41</v>
      </c>
      <c r="H14" s="85">
        <v>44901</v>
      </c>
      <c r="I14" s="85">
        <v>46721</v>
      </c>
      <c r="J14" s="107">
        <v>45200</v>
      </c>
      <c r="K14" s="107">
        <v>45291</v>
      </c>
      <c r="L14" s="59" t="s">
        <v>295</v>
      </c>
      <c r="M14" s="95" t="s">
        <v>353</v>
      </c>
      <c r="N14" s="58" t="s">
        <v>1</v>
      </c>
      <c r="O14" s="176">
        <v>45321</v>
      </c>
      <c r="P14" s="58" t="s">
        <v>101</v>
      </c>
      <c r="Q14" s="58"/>
      <c r="R14" s="58"/>
      <c r="S14" s="181">
        <v>10831.27</v>
      </c>
      <c r="T14" s="181">
        <v>10831.27</v>
      </c>
      <c r="U14" s="58" t="s">
        <v>3</v>
      </c>
      <c r="V14" s="58"/>
      <c r="W14" s="161"/>
      <c r="X14" s="198">
        <v>601.05999999999995</v>
      </c>
      <c r="Y14" s="198"/>
      <c r="Z14" s="198"/>
      <c r="AA14" s="198"/>
      <c r="AB14" s="198"/>
      <c r="AC14" s="198">
        <v>7746.16</v>
      </c>
      <c r="AD14" s="198">
        <v>1171.18</v>
      </c>
      <c r="AE14" s="198"/>
      <c r="AF14" s="198"/>
      <c r="AG14" s="198">
        <v>980.08</v>
      </c>
      <c r="AH14" s="198"/>
      <c r="AI14" s="198">
        <v>332.79</v>
      </c>
      <c r="AJ14" s="198"/>
      <c r="AK14" s="198">
        <f t="shared" si="0"/>
        <v>10831.27</v>
      </c>
      <c r="AL14" s="198">
        <f t="shared" si="1"/>
        <v>0</v>
      </c>
    </row>
    <row r="15" spans="1:38" s="165" customFormat="1" ht="303.60000000000002" hidden="1" x14ac:dyDescent="0.3">
      <c r="A15" s="165">
        <v>14</v>
      </c>
      <c r="B15" s="61" t="s">
        <v>107</v>
      </c>
      <c r="C15" s="58" t="s">
        <v>107</v>
      </c>
      <c r="D15" s="58" t="s">
        <v>210</v>
      </c>
      <c r="E15" s="61" t="s">
        <v>787</v>
      </c>
      <c r="F15" s="231" t="s">
        <v>503</v>
      </c>
      <c r="G15" s="94">
        <v>248</v>
      </c>
      <c r="H15" s="85">
        <v>44699</v>
      </c>
      <c r="I15" s="85">
        <v>46524</v>
      </c>
      <c r="J15" s="107">
        <v>45200</v>
      </c>
      <c r="K15" s="107">
        <v>45291</v>
      </c>
      <c r="L15" s="140" t="s">
        <v>295</v>
      </c>
      <c r="M15" s="177" t="s">
        <v>502</v>
      </c>
      <c r="N15" s="58" t="s">
        <v>1</v>
      </c>
      <c r="O15" s="176">
        <v>45323</v>
      </c>
      <c r="P15" s="58" t="s">
        <v>101</v>
      </c>
      <c r="Q15" s="58"/>
      <c r="R15" s="58"/>
      <c r="S15" s="181">
        <v>414710.79</v>
      </c>
      <c r="T15" s="181">
        <v>4052.53</v>
      </c>
      <c r="U15" s="58" t="s">
        <v>8</v>
      </c>
      <c r="V15" s="58"/>
      <c r="W15" s="182"/>
      <c r="X15" s="198">
        <f>21887.25+12.03</f>
        <v>21899.279999999999</v>
      </c>
      <c r="Y15" s="198">
        <v>11267.71</v>
      </c>
      <c r="Z15" s="198"/>
      <c r="AA15" s="198">
        <v>17133.89</v>
      </c>
      <c r="AB15" s="198">
        <v>158.63</v>
      </c>
      <c r="AC15" s="198">
        <v>195140.48000000001</v>
      </c>
      <c r="AD15" s="198">
        <f>38406.61+1222.91</f>
        <v>39629.520000000004</v>
      </c>
      <c r="AE15" s="198">
        <v>25180.91</v>
      </c>
      <c r="AF15" s="198">
        <v>6715.45</v>
      </c>
      <c r="AG15" s="198">
        <v>53126.11</v>
      </c>
      <c r="AH15" s="198">
        <v>6826.75</v>
      </c>
      <c r="AI15" s="198">
        <v>37632.06</v>
      </c>
      <c r="AJ15" s="198"/>
      <c r="AK15" s="198">
        <f t="shared" si="0"/>
        <v>414710.79</v>
      </c>
      <c r="AL15" s="198">
        <f t="shared" si="1"/>
        <v>0</v>
      </c>
    </row>
    <row r="16" spans="1:38" s="165" customFormat="1" ht="303.60000000000002" hidden="1" x14ac:dyDescent="0.3">
      <c r="A16" s="165">
        <v>15</v>
      </c>
      <c r="B16" s="61" t="s">
        <v>107</v>
      </c>
      <c r="C16" s="58" t="s">
        <v>107</v>
      </c>
      <c r="D16" s="58" t="s">
        <v>210</v>
      </c>
      <c r="E16" s="61" t="s">
        <v>787</v>
      </c>
      <c r="F16" s="231" t="s">
        <v>503</v>
      </c>
      <c r="G16" s="94">
        <v>248</v>
      </c>
      <c r="H16" s="85">
        <v>44699</v>
      </c>
      <c r="I16" s="85">
        <v>46524</v>
      </c>
      <c r="J16" s="107">
        <v>45200</v>
      </c>
      <c r="K16" s="107">
        <v>45291</v>
      </c>
      <c r="L16" s="140" t="s">
        <v>295</v>
      </c>
      <c r="M16" s="177" t="s">
        <v>502</v>
      </c>
      <c r="N16" s="58" t="s">
        <v>1</v>
      </c>
      <c r="O16" s="176">
        <v>45323</v>
      </c>
      <c r="P16" s="58" t="s">
        <v>101</v>
      </c>
      <c r="Q16" s="58"/>
      <c r="R16" s="58"/>
      <c r="S16" s="181">
        <f>[1]Sheet1!B2</f>
        <v>153617.77378200003</v>
      </c>
      <c r="T16" s="212">
        <v>401082.19</v>
      </c>
      <c r="U16" s="58" t="s">
        <v>8</v>
      </c>
      <c r="V16" s="58"/>
      <c r="W16" s="161"/>
      <c r="X16" s="198">
        <v>5821.92</v>
      </c>
      <c r="Y16" s="198">
        <v>1823.36</v>
      </c>
      <c r="Z16" s="198"/>
      <c r="AA16" s="198">
        <v>5460.93</v>
      </c>
      <c r="AB16" s="198">
        <v>44.95</v>
      </c>
      <c r="AC16" s="198">
        <v>79638.899999999994</v>
      </c>
      <c r="AD16" s="198">
        <v>16442.46</v>
      </c>
      <c r="AE16" s="198">
        <v>6761.04</v>
      </c>
      <c r="AF16" s="198">
        <v>2425.1799999999998</v>
      </c>
      <c r="AG16" s="198">
        <v>21142.06</v>
      </c>
      <c r="AH16" s="198">
        <v>1833.7</v>
      </c>
      <c r="AI16" s="198">
        <v>12223.27</v>
      </c>
      <c r="AJ16" s="198"/>
      <c r="AK16" s="198">
        <f t="shared" si="0"/>
        <v>153617.76999999999</v>
      </c>
      <c r="AL16" s="198">
        <f t="shared" si="1"/>
        <v>-3.7820000434294343E-3</v>
      </c>
    </row>
    <row r="17" spans="1:38" s="165" customFormat="1" ht="303.60000000000002" hidden="1" x14ac:dyDescent="0.3">
      <c r="A17" s="165">
        <v>16</v>
      </c>
      <c r="B17" s="61" t="s">
        <v>107</v>
      </c>
      <c r="C17" s="58" t="s">
        <v>107</v>
      </c>
      <c r="D17" s="58" t="s">
        <v>211</v>
      </c>
      <c r="E17" s="61" t="s">
        <v>787</v>
      </c>
      <c r="F17" s="231" t="s">
        <v>503</v>
      </c>
      <c r="G17" s="94">
        <v>109</v>
      </c>
      <c r="H17" s="85">
        <v>44699</v>
      </c>
      <c r="I17" s="85">
        <v>46524</v>
      </c>
      <c r="J17" s="107">
        <v>45200</v>
      </c>
      <c r="K17" s="107">
        <v>45291</v>
      </c>
      <c r="L17" s="140" t="s">
        <v>295</v>
      </c>
      <c r="M17" s="177" t="s">
        <v>502</v>
      </c>
      <c r="N17" s="58" t="s">
        <v>1</v>
      </c>
      <c r="O17" s="176">
        <v>45323</v>
      </c>
      <c r="P17" s="58" t="s">
        <v>101</v>
      </c>
      <c r="Q17" s="58"/>
      <c r="R17" s="58"/>
      <c r="S17" s="181">
        <f>[1]Sheet1!B4</f>
        <v>83127.59139999999</v>
      </c>
      <c r="T17" s="212">
        <v>401082.19</v>
      </c>
      <c r="U17" s="58" t="s">
        <v>8</v>
      </c>
      <c r="V17" s="58"/>
      <c r="W17" s="161"/>
      <c r="X17" s="198">
        <v>1775.33</v>
      </c>
      <c r="Y17" s="198">
        <v>1082.18</v>
      </c>
      <c r="Z17" s="198"/>
      <c r="AA17" s="198">
        <v>1122.26</v>
      </c>
      <c r="AB17" s="198">
        <v>150.86000000000001</v>
      </c>
      <c r="AC17" s="198">
        <v>46073.41</v>
      </c>
      <c r="AD17" s="198">
        <v>5341.04</v>
      </c>
      <c r="AE17" s="198">
        <v>3624.33</v>
      </c>
      <c r="AF17" s="198">
        <v>2171.9899999999998</v>
      </c>
      <c r="AG17" s="198">
        <v>10559.62</v>
      </c>
      <c r="AH17" s="198">
        <v>2929.39</v>
      </c>
      <c r="AI17" s="198">
        <v>8297.18</v>
      </c>
      <c r="AJ17" s="198"/>
      <c r="AK17" s="198">
        <f t="shared" si="0"/>
        <v>83127.59</v>
      </c>
      <c r="AL17" s="198">
        <f t="shared" si="1"/>
        <v>-1.3999999937368557E-3</v>
      </c>
    </row>
    <row r="18" spans="1:38" s="165" customFormat="1" ht="27.6" hidden="1" x14ac:dyDescent="0.3">
      <c r="A18" s="165">
        <v>17</v>
      </c>
      <c r="B18" s="61" t="s">
        <v>107</v>
      </c>
      <c r="C18" s="58" t="s">
        <v>107</v>
      </c>
      <c r="D18" s="58" t="s">
        <v>212</v>
      </c>
      <c r="E18" s="61" t="s">
        <v>788</v>
      </c>
      <c r="F18" s="231" t="s">
        <v>514</v>
      </c>
      <c r="G18" s="94">
        <v>116</v>
      </c>
      <c r="H18" s="85">
        <v>44508</v>
      </c>
      <c r="I18" s="85">
        <v>46022</v>
      </c>
      <c r="J18" s="85">
        <v>45566</v>
      </c>
      <c r="K18" s="85">
        <v>45657</v>
      </c>
      <c r="L18" s="140" t="s">
        <v>295</v>
      </c>
      <c r="M18" s="174" t="s">
        <v>513</v>
      </c>
      <c r="N18" s="58" t="s">
        <v>1</v>
      </c>
      <c r="O18" s="176">
        <v>45323</v>
      </c>
      <c r="P18" s="58" t="s">
        <v>101</v>
      </c>
      <c r="Q18" s="58"/>
      <c r="R18" s="58"/>
      <c r="S18" s="181">
        <f>[1]Sheet1!B6</f>
        <v>14873.030000000002</v>
      </c>
      <c r="T18" s="212">
        <v>401082.19</v>
      </c>
      <c r="U18" s="58" t="s">
        <v>8</v>
      </c>
      <c r="V18" s="58"/>
      <c r="W18" s="161"/>
      <c r="X18" s="198">
        <v>883.91</v>
      </c>
      <c r="Y18" s="198">
        <v>36.520000000000003</v>
      </c>
      <c r="Z18" s="198"/>
      <c r="AA18" s="198">
        <v>1954.83</v>
      </c>
      <c r="AB18" s="198"/>
      <c r="AC18" s="198">
        <v>3214.16</v>
      </c>
      <c r="AD18" s="198">
        <v>2168.9</v>
      </c>
      <c r="AE18" s="198">
        <v>1144.8</v>
      </c>
      <c r="AF18" s="198">
        <v>10.76</v>
      </c>
      <c r="AG18" s="198">
        <v>3767.39</v>
      </c>
      <c r="AH18" s="198">
        <v>22.26</v>
      </c>
      <c r="AI18" s="198">
        <v>1669.5</v>
      </c>
      <c r="AJ18" s="198"/>
      <c r="AK18" s="198">
        <f t="shared" si="0"/>
        <v>14873.029999999999</v>
      </c>
      <c r="AL18" s="198">
        <f t="shared" si="1"/>
        <v>0</v>
      </c>
    </row>
    <row r="19" spans="1:38" s="165" customFormat="1" ht="234.6" hidden="1" x14ac:dyDescent="0.3">
      <c r="A19" s="165">
        <v>18</v>
      </c>
      <c r="B19" s="61" t="s">
        <v>107</v>
      </c>
      <c r="C19" s="58" t="s">
        <v>107</v>
      </c>
      <c r="D19" s="58" t="s">
        <v>213</v>
      </c>
      <c r="E19" s="58" t="s">
        <v>789</v>
      </c>
      <c r="F19" s="231" t="s">
        <v>511</v>
      </c>
      <c r="G19" s="94">
        <v>115</v>
      </c>
      <c r="H19" s="85">
        <v>45002</v>
      </c>
      <c r="I19" s="85">
        <v>45930</v>
      </c>
      <c r="J19" s="85">
        <v>45566</v>
      </c>
      <c r="K19" s="85">
        <v>45657</v>
      </c>
      <c r="L19" s="140" t="s">
        <v>295</v>
      </c>
      <c r="M19" s="150" t="s">
        <v>510</v>
      </c>
      <c r="N19" s="58" t="s">
        <v>1</v>
      </c>
      <c r="O19" s="176">
        <v>45323</v>
      </c>
      <c r="P19" s="58" t="s">
        <v>101</v>
      </c>
      <c r="Q19" s="58"/>
      <c r="R19" s="58"/>
      <c r="S19" s="181">
        <f>[1]Sheet1!B7</f>
        <v>37748.050158000005</v>
      </c>
      <c r="T19" s="212">
        <v>401082.19</v>
      </c>
      <c r="U19" s="58" t="s">
        <v>8</v>
      </c>
      <c r="V19" s="58"/>
      <c r="W19" s="161"/>
      <c r="X19" s="198">
        <v>2756.06</v>
      </c>
      <c r="Y19" s="198">
        <v>1062.3599999999999</v>
      </c>
      <c r="Z19" s="198"/>
      <c r="AA19" s="198">
        <v>2011.6</v>
      </c>
      <c r="AB19" s="198"/>
      <c r="AC19" s="198">
        <v>16399.650000000001</v>
      </c>
      <c r="AD19" s="198">
        <v>3024.77</v>
      </c>
      <c r="AE19" s="198">
        <v>4202.07</v>
      </c>
      <c r="AF19" s="198">
        <v>1489.53</v>
      </c>
      <c r="AG19" s="198">
        <v>3190.01</v>
      </c>
      <c r="AH19" s="198"/>
      <c r="AI19" s="198">
        <v>3612</v>
      </c>
      <c r="AJ19" s="198"/>
      <c r="AK19" s="198">
        <f t="shared" si="0"/>
        <v>37748.050000000003</v>
      </c>
      <c r="AL19" s="198">
        <f t="shared" si="1"/>
        <v>-1.5800000255694613E-4</v>
      </c>
    </row>
    <row r="20" spans="1:38" s="165" customFormat="1" ht="13.8" hidden="1" x14ac:dyDescent="0.3">
      <c r="A20" s="165">
        <v>19</v>
      </c>
      <c r="B20" s="61" t="s">
        <v>107</v>
      </c>
      <c r="C20" s="58" t="s">
        <v>107</v>
      </c>
      <c r="D20" s="58" t="s">
        <v>214</v>
      </c>
      <c r="E20" s="58" t="s">
        <v>882</v>
      </c>
      <c r="F20" s="231" t="s">
        <v>508</v>
      </c>
      <c r="G20" s="94">
        <v>114</v>
      </c>
      <c r="H20" s="85">
        <v>44924</v>
      </c>
      <c r="I20" s="85">
        <v>46022</v>
      </c>
      <c r="J20" s="85">
        <v>45566</v>
      </c>
      <c r="K20" s="85">
        <v>45657</v>
      </c>
      <c r="L20" s="140" t="s">
        <v>295</v>
      </c>
      <c r="M20" s="190" t="s">
        <v>507</v>
      </c>
      <c r="N20" s="58" t="s">
        <v>1</v>
      </c>
      <c r="O20" s="176">
        <v>45323</v>
      </c>
      <c r="P20" s="58" t="s">
        <v>101</v>
      </c>
      <c r="Q20" s="58"/>
      <c r="R20" s="58"/>
      <c r="S20" s="181">
        <f>[1]Sheet1!B8</f>
        <v>111715.75199999979</v>
      </c>
      <c r="T20" s="212">
        <v>401082.19</v>
      </c>
      <c r="U20" s="58" t="s">
        <v>8</v>
      </c>
      <c r="V20" s="58"/>
      <c r="W20" s="161"/>
      <c r="X20" s="198">
        <v>4748.8599999999997</v>
      </c>
      <c r="Y20" s="198">
        <v>1578.05</v>
      </c>
      <c r="Z20" s="198"/>
      <c r="AA20" s="198">
        <v>3778.46</v>
      </c>
      <c r="AB20" s="198">
        <v>1.89</v>
      </c>
      <c r="AC20" s="198">
        <v>63788.02</v>
      </c>
      <c r="AD20" s="198">
        <f>8699.58+186.42</f>
        <v>8886</v>
      </c>
      <c r="AE20" s="198">
        <v>4658.79</v>
      </c>
      <c r="AF20" s="198">
        <v>1574.16</v>
      </c>
      <c r="AG20" s="198">
        <v>10466.32</v>
      </c>
      <c r="AH20" s="198">
        <v>1098</v>
      </c>
      <c r="AI20" s="198">
        <v>11137.2</v>
      </c>
      <c r="AJ20" s="198"/>
      <c r="AK20" s="198">
        <f t="shared" si="0"/>
        <v>111715.74999999999</v>
      </c>
      <c r="AL20" s="198">
        <f t="shared" si="1"/>
        <v>-1.999999803956598E-3</v>
      </c>
    </row>
    <row r="21" spans="1:38" s="165" customFormat="1" ht="27.6" hidden="1" x14ac:dyDescent="0.3">
      <c r="A21" s="165">
        <v>20</v>
      </c>
      <c r="B21" s="58" t="s">
        <v>17</v>
      </c>
      <c r="C21" s="58" t="s">
        <v>17</v>
      </c>
      <c r="D21" s="58" t="s">
        <v>85</v>
      </c>
      <c r="E21" s="61" t="s">
        <v>926</v>
      </c>
      <c r="F21" s="61" t="s">
        <v>973</v>
      </c>
      <c r="G21" s="59">
        <v>534</v>
      </c>
      <c r="H21" s="107">
        <v>42993</v>
      </c>
      <c r="I21" s="141">
        <v>45657</v>
      </c>
      <c r="J21" s="107">
        <v>45103</v>
      </c>
      <c r="K21" s="107">
        <v>45285</v>
      </c>
      <c r="L21" s="59" t="s">
        <v>872</v>
      </c>
      <c r="M21" s="179" t="s">
        <v>927</v>
      </c>
      <c r="N21" s="157" t="s">
        <v>19</v>
      </c>
      <c r="O21" s="176">
        <v>45324</v>
      </c>
      <c r="P21" s="58" t="s">
        <v>2</v>
      </c>
      <c r="Q21" s="58" t="s">
        <v>166</v>
      </c>
      <c r="R21" s="58"/>
      <c r="S21" s="316">
        <v>16688.14</v>
      </c>
      <c r="T21" s="181">
        <v>16688</v>
      </c>
      <c r="U21" s="58" t="s">
        <v>16</v>
      </c>
      <c r="V21" s="58"/>
      <c r="W21" s="156" t="s">
        <v>231</v>
      </c>
      <c r="X21" s="198">
        <v>44.52</v>
      </c>
      <c r="Y21" s="198"/>
      <c r="Z21" s="198"/>
      <c r="AA21" s="198">
        <v>144.65</v>
      </c>
      <c r="AB21" s="198"/>
      <c r="AC21" s="198">
        <v>8974.11</v>
      </c>
      <c r="AD21" s="198">
        <v>3426.07</v>
      </c>
      <c r="AE21" s="198">
        <v>1127.6099999999999</v>
      </c>
      <c r="AF21" s="198"/>
      <c r="AG21" s="198">
        <v>5.84</v>
      </c>
      <c r="AH21" s="198"/>
      <c r="AI21" s="198">
        <v>2965.34</v>
      </c>
      <c r="AJ21" s="198"/>
      <c r="AK21" s="198">
        <f t="shared" si="0"/>
        <v>16688.14</v>
      </c>
      <c r="AL21" s="198">
        <f t="shared" si="1"/>
        <v>0</v>
      </c>
    </row>
    <row r="22" spans="1:38" s="165" customFormat="1" ht="372.6" hidden="1" x14ac:dyDescent="0.3">
      <c r="A22" s="165">
        <v>21</v>
      </c>
      <c r="B22" s="61" t="s">
        <v>30</v>
      </c>
      <c r="C22" s="61" t="s">
        <v>30</v>
      </c>
      <c r="D22" s="109" t="s">
        <v>1148</v>
      </c>
      <c r="E22" s="102" t="s">
        <v>874</v>
      </c>
      <c r="F22" s="231" t="s">
        <v>381</v>
      </c>
      <c r="G22" s="94">
        <v>174</v>
      </c>
      <c r="H22" s="85">
        <v>42061</v>
      </c>
      <c r="I22" s="85">
        <v>46446</v>
      </c>
      <c r="J22" s="85">
        <v>45383</v>
      </c>
      <c r="K22" s="85">
        <v>45473</v>
      </c>
      <c r="L22" s="140" t="s">
        <v>295</v>
      </c>
      <c r="M22" s="174" t="s">
        <v>380</v>
      </c>
      <c r="N22" s="61" t="s">
        <v>5</v>
      </c>
      <c r="O22" s="178">
        <v>45324</v>
      </c>
      <c r="P22" s="61" t="s">
        <v>2</v>
      </c>
      <c r="Q22" s="61" t="s">
        <v>168</v>
      </c>
      <c r="R22" s="61"/>
      <c r="S22" s="316">
        <v>18500</v>
      </c>
      <c r="T22" s="181"/>
      <c r="U22" s="61"/>
      <c r="V22" s="109"/>
      <c r="W22" s="155"/>
      <c r="X22" s="199"/>
      <c r="Y22" s="199"/>
      <c r="Z22" s="199"/>
      <c r="AA22" s="199"/>
      <c r="AB22" s="199"/>
      <c r="AC22" s="199">
        <v>7000</v>
      </c>
      <c r="AD22" s="199">
        <v>11500</v>
      </c>
      <c r="AE22" s="199"/>
      <c r="AF22" s="199"/>
      <c r="AG22" s="199"/>
      <c r="AH22" s="199"/>
      <c r="AI22" s="199"/>
      <c r="AJ22" s="199"/>
      <c r="AK22" s="198">
        <f t="shared" si="0"/>
        <v>18500</v>
      </c>
      <c r="AL22" s="198">
        <f t="shared" si="1"/>
        <v>0</v>
      </c>
    </row>
    <row r="23" spans="1:38" s="161" customFormat="1" ht="165.6" x14ac:dyDescent="0.3">
      <c r="A23" s="165">
        <v>22</v>
      </c>
      <c r="B23" s="61" t="s">
        <v>108</v>
      </c>
      <c r="C23" s="58" t="s">
        <v>108</v>
      </c>
      <c r="D23" s="58" t="s">
        <v>109</v>
      </c>
      <c r="E23" s="102" t="s">
        <v>877</v>
      </c>
      <c r="F23" s="231" t="s">
        <v>408</v>
      </c>
      <c r="G23" s="94">
        <v>68</v>
      </c>
      <c r="H23" s="85">
        <v>44927</v>
      </c>
      <c r="I23" s="85">
        <v>46022</v>
      </c>
      <c r="J23" s="107">
        <v>44927</v>
      </c>
      <c r="K23" s="107">
        <v>45291</v>
      </c>
      <c r="L23" s="59" t="s">
        <v>289</v>
      </c>
      <c r="M23" s="95" t="s">
        <v>407</v>
      </c>
      <c r="N23" s="58" t="s">
        <v>1</v>
      </c>
      <c r="O23" s="176">
        <v>45327</v>
      </c>
      <c r="P23" s="58" t="s">
        <v>101</v>
      </c>
      <c r="Q23" s="58"/>
      <c r="R23" s="58"/>
      <c r="S23" s="181">
        <v>192355.74</v>
      </c>
      <c r="T23" s="181"/>
      <c r="U23" s="58" t="s">
        <v>8</v>
      </c>
      <c r="V23" s="58"/>
      <c r="X23" s="198">
        <v>14045.21</v>
      </c>
      <c r="Y23" s="198">
        <v>229.21</v>
      </c>
      <c r="Z23" s="198"/>
      <c r="AA23" s="198">
        <v>7637.37</v>
      </c>
      <c r="AB23" s="198">
        <v>1682.83</v>
      </c>
      <c r="AC23" s="198">
        <v>66116.09</v>
      </c>
      <c r="AD23" s="198">
        <v>30461.23</v>
      </c>
      <c r="AE23" s="198">
        <v>10855.24</v>
      </c>
      <c r="AF23" s="198">
        <v>3218.15</v>
      </c>
      <c r="AG23" s="198">
        <v>31793.39</v>
      </c>
      <c r="AH23" s="198">
        <v>142.11000000000001</v>
      </c>
      <c r="AI23" s="198">
        <v>24809.59</v>
      </c>
      <c r="AJ23" s="198">
        <v>1365.32</v>
      </c>
      <c r="AK23" s="198">
        <f t="shared" si="0"/>
        <v>192355.73999999996</v>
      </c>
      <c r="AL23" s="198">
        <f t="shared" si="1"/>
        <v>0</v>
      </c>
    </row>
    <row r="24" spans="1:38" s="161" customFormat="1" ht="289.8" hidden="1" x14ac:dyDescent="0.3">
      <c r="A24" s="165">
        <v>23</v>
      </c>
      <c r="B24" s="58" t="s">
        <v>248</v>
      </c>
      <c r="C24" s="58" t="s">
        <v>114</v>
      </c>
      <c r="D24" s="58" t="s">
        <v>115</v>
      </c>
      <c r="E24" s="58" t="s">
        <v>914</v>
      </c>
      <c r="F24" s="231" t="s">
        <v>329</v>
      </c>
      <c r="G24" s="94">
        <v>32</v>
      </c>
      <c r="H24" s="85">
        <v>43067</v>
      </c>
      <c r="I24" s="85">
        <v>45989</v>
      </c>
      <c r="J24" s="85">
        <v>45200</v>
      </c>
      <c r="K24" s="85">
        <v>45291</v>
      </c>
      <c r="L24" s="85" t="s">
        <v>295</v>
      </c>
      <c r="M24" s="179" t="s">
        <v>327</v>
      </c>
      <c r="N24" s="58" t="s">
        <v>19</v>
      </c>
      <c r="O24" s="176">
        <v>45327</v>
      </c>
      <c r="P24" s="61" t="s">
        <v>92</v>
      </c>
      <c r="Q24" s="58"/>
      <c r="R24" s="58"/>
      <c r="S24" s="181">
        <v>60636.97</v>
      </c>
      <c r="T24" s="181">
        <v>60637.97</v>
      </c>
      <c r="U24" s="58" t="s">
        <v>16</v>
      </c>
      <c r="V24" s="58"/>
      <c r="X24" s="198">
        <v>3480.24</v>
      </c>
      <c r="Y24" s="198">
        <v>2770.29</v>
      </c>
      <c r="Z24" s="198"/>
      <c r="AA24" s="198">
        <v>1696.89</v>
      </c>
      <c r="AB24" s="198"/>
      <c r="AC24" s="198">
        <v>38174.78</v>
      </c>
      <c r="AD24" s="198">
        <v>6576.09</v>
      </c>
      <c r="AE24" s="198">
        <v>2130.61</v>
      </c>
      <c r="AF24" s="198"/>
      <c r="AG24" s="198">
        <v>5808.07</v>
      </c>
      <c r="AH24" s="198"/>
      <c r="AI24" s="198"/>
      <c r="AJ24" s="198"/>
      <c r="AK24" s="198">
        <f t="shared" si="0"/>
        <v>60636.969999999994</v>
      </c>
      <c r="AL24" s="198">
        <f t="shared" si="1"/>
        <v>0</v>
      </c>
    </row>
    <row r="25" spans="1:38" s="161" customFormat="1" ht="55.2" hidden="1" x14ac:dyDescent="0.3">
      <c r="A25" s="165">
        <v>24</v>
      </c>
      <c r="B25" s="58" t="s">
        <v>117</v>
      </c>
      <c r="C25" s="58" t="s">
        <v>116</v>
      </c>
      <c r="D25" s="58" t="s">
        <v>118</v>
      </c>
      <c r="E25" s="109" t="s">
        <v>883</v>
      </c>
      <c r="F25" s="109" t="s">
        <v>997</v>
      </c>
      <c r="G25" s="94">
        <v>436</v>
      </c>
      <c r="H25" s="85">
        <v>45231</v>
      </c>
      <c r="I25" s="85">
        <v>45961</v>
      </c>
      <c r="J25" s="107">
        <v>45200</v>
      </c>
      <c r="K25" s="107">
        <v>45291</v>
      </c>
      <c r="L25" s="59" t="s">
        <v>295</v>
      </c>
      <c r="M25" s="92" t="s">
        <v>996</v>
      </c>
      <c r="N25" s="58" t="s">
        <v>19</v>
      </c>
      <c r="O25" s="176">
        <v>45330</v>
      </c>
      <c r="P25" s="58" t="s">
        <v>98</v>
      </c>
      <c r="Q25" s="58"/>
      <c r="R25" s="58"/>
      <c r="S25" s="181">
        <v>800</v>
      </c>
      <c r="T25" s="181"/>
      <c r="U25" s="58" t="s">
        <v>16</v>
      </c>
      <c r="V25" s="58"/>
      <c r="X25" s="198"/>
      <c r="Y25" s="198"/>
      <c r="Z25" s="198"/>
      <c r="AA25" s="198"/>
      <c r="AB25" s="198"/>
      <c r="AC25" s="198">
        <v>800</v>
      </c>
      <c r="AD25" s="198"/>
      <c r="AE25" s="198"/>
      <c r="AF25" s="198"/>
      <c r="AG25" s="198"/>
      <c r="AH25" s="198"/>
      <c r="AI25" s="198"/>
      <c r="AJ25" s="198"/>
      <c r="AK25" s="198">
        <f t="shared" si="0"/>
        <v>800</v>
      </c>
      <c r="AL25" s="198">
        <f t="shared" si="1"/>
        <v>0</v>
      </c>
    </row>
    <row r="26" spans="1:38" s="161" customFormat="1" ht="27.6" hidden="1" x14ac:dyDescent="0.3">
      <c r="A26" s="165">
        <v>25</v>
      </c>
      <c r="B26" s="61" t="s">
        <v>14</v>
      </c>
      <c r="C26" s="61" t="s">
        <v>156</v>
      </c>
      <c r="D26" s="58" t="s">
        <v>110</v>
      </c>
      <c r="E26" s="61" t="s">
        <v>922</v>
      </c>
      <c r="F26" s="24" t="s">
        <v>456</v>
      </c>
      <c r="G26" s="59">
        <v>94</v>
      </c>
      <c r="H26" s="107">
        <v>43070</v>
      </c>
      <c r="I26" s="107">
        <v>45911</v>
      </c>
      <c r="J26" s="107">
        <v>45200</v>
      </c>
      <c r="K26" s="107">
        <v>45291</v>
      </c>
      <c r="L26" s="59" t="s">
        <v>295</v>
      </c>
      <c r="M26" s="186" t="s">
        <v>455</v>
      </c>
      <c r="N26" s="61" t="s">
        <v>1</v>
      </c>
      <c r="O26" s="178">
        <v>45331</v>
      </c>
      <c r="P26" s="58" t="s">
        <v>92</v>
      </c>
      <c r="Q26" s="61" t="s">
        <v>680</v>
      </c>
      <c r="R26" s="61"/>
      <c r="S26" s="181">
        <v>96971.44</v>
      </c>
      <c r="T26" s="181"/>
      <c r="U26" s="61" t="s">
        <v>8</v>
      </c>
      <c r="V26" s="61"/>
      <c r="W26" s="147"/>
      <c r="X26" s="199">
        <v>4881.51</v>
      </c>
      <c r="Y26" s="202"/>
      <c r="Z26" s="202"/>
      <c r="AA26" s="199"/>
      <c r="AB26" s="199"/>
      <c r="AC26" s="199">
        <v>58358.29</v>
      </c>
      <c r="AD26" s="199">
        <v>4665.63</v>
      </c>
      <c r="AE26" s="199">
        <v>7485.78</v>
      </c>
      <c r="AF26" s="199"/>
      <c r="AG26" s="199">
        <v>18333.939999999999</v>
      </c>
      <c r="AH26" s="199"/>
      <c r="AI26" s="199">
        <v>3246.29</v>
      </c>
      <c r="AJ26" s="199"/>
      <c r="AK26" s="198">
        <f t="shared" si="0"/>
        <v>96971.44</v>
      </c>
      <c r="AL26" s="198">
        <f t="shared" si="1"/>
        <v>0</v>
      </c>
    </row>
    <row r="27" spans="1:38" s="161" customFormat="1" ht="69" hidden="1" x14ac:dyDescent="0.3">
      <c r="A27" s="165">
        <v>26</v>
      </c>
      <c r="B27" s="58" t="s">
        <v>0</v>
      </c>
      <c r="C27" s="58" t="s">
        <v>0</v>
      </c>
      <c r="D27" s="58" t="s">
        <v>6</v>
      </c>
      <c r="E27" s="102" t="s">
        <v>773</v>
      </c>
      <c r="F27" s="102" t="s">
        <v>984</v>
      </c>
      <c r="G27" s="94">
        <v>341</v>
      </c>
      <c r="H27" s="85">
        <v>42069</v>
      </c>
      <c r="I27" s="85">
        <v>46022</v>
      </c>
      <c r="J27" s="107">
        <v>44985</v>
      </c>
      <c r="K27" s="107">
        <v>45169</v>
      </c>
      <c r="L27" s="59" t="s">
        <v>872</v>
      </c>
      <c r="M27" s="174" t="s">
        <v>685</v>
      </c>
      <c r="N27" s="58" t="s">
        <v>7</v>
      </c>
      <c r="O27" s="176">
        <v>45334</v>
      </c>
      <c r="P27" s="58" t="s">
        <v>98</v>
      </c>
      <c r="Q27" s="58" t="s">
        <v>167</v>
      </c>
      <c r="R27" s="58"/>
      <c r="S27" s="318">
        <v>15173.64</v>
      </c>
      <c r="T27" s="181"/>
      <c r="U27" s="58" t="s">
        <v>8</v>
      </c>
      <c r="V27" s="58"/>
      <c r="W27" s="156"/>
      <c r="X27" s="200">
        <v>1059</v>
      </c>
      <c r="Y27" s="200">
        <f>SUM(145+290)</f>
        <v>435</v>
      </c>
      <c r="Z27" s="202"/>
      <c r="AA27" s="198"/>
      <c r="AB27" s="198">
        <v>380</v>
      </c>
      <c r="AC27" s="198">
        <f>SUM(3241+4050)</f>
        <v>7291</v>
      </c>
      <c r="AD27" s="198">
        <v>414</v>
      </c>
      <c r="AE27" s="198">
        <f>SUM(1446.88+613.76)</f>
        <v>2060.6400000000003</v>
      </c>
      <c r="AF27" s="198">
        <v>1672</v>
      </c>
      <c r="AG27" s="198"/>
      <c r="AH27" s="198"/>
      <c r="AI27" s="198">
        <v>1862</v>
      </c>
      <c r="AJ27" s="198"/>
      <c r="AK27" s="198">
        <f t="shared" si="0"/>
        <v>15173.64</v>
      </c>
      <c r="AL27" s="198">
        <f t="shared" si="1"/>
        <v>0</v>
      </c>
    </row>
    <row r="28" spans="1:38" s="161" customFormat="1" ht="55.2" hidden="1" x14ac:dyDescent="0.3">
      <c r="A28" s="165">
        <v>27</v>
      </c>
      <c r="B28" s="58" t="s">
        <v>0</v>
      </c>
      <c r="C28" s="58" t="s">
        <v>0</v>
      </c>
      <c r="D28" s="58" t="s">
        <v>1143</v>
      </c>
      <c r="E28" s="109" t="s">
        <v>773</v>
      </c>
      <c r="F28" s="315" t="s">
        <v>1141</v>
      </c>
      <c r="G28" s="314" t="s">
        <v>1142</v>
      </c>
      <c r="H28" s="85">
        <v>42069</v>
      </c>
      <c r="I28" s="85">
        <v>46022</v>
      </c>
      <c r="J28" s="107">
        <v>44927</v>
      </c>
      <c r="K28" s="107">
        <v>45291</v>
      </c>
      <c r="L28" s="59" t="s">
        <v>289</v>
      </c>
      <c r="M28" s="174" t="s">
        <v>685</v>
      </c>
      <c r="N28" s="58" t="s">
        <v>9</v>
      </c>
      <c r="O28" s="176">
        <v>45334</v>
      </c>
      <c r="P28" s="58" t="s">
        <v>98</v>
      </c>
      <c r="Q28" s="58" t="s">
        <v>167</v>
      </c>
      <c r="R28" s="58"/>
      <c r="S28" s="318">
        <v>26830.34</v>
      </c>
      <c r="T28" s="181">
        <v>26830.34</v>
      </c>
      <c r="U28" s="58" t="s">
        <v>8</v>
      </c>
      <c r="V28" s="58"/>
      <c r="W28" s="156"/>
      <c r="X28" s="200">
        <v>5410.8</v>
      </c>
      <c r="Y28" s="200"/>
      <c r="Z28" s="202"/>
      <c r="AA28" s="198"/>
      <c r="AB28" s="198"/>
      <c r="AC28" s="198">
        <v>942.3</v>
      </c>
      <c r="AD28" s="198">
        <v>19517.39</v>
      </c>
      <c r="AE28" s="198">
        <v>959.85</v>
      </c>
      <c r="AF28" s="198"/>
      <c r="AG28" s="198"/>
      <c r="AH28" s="198"/>
      <c r="AI28" s="198"/>
      <c r="AJ28" s="198"/>
      <c r="AK28" s="198">
        <f t="shared" si="0"/>
        <v>26830.339999999997</v>
      </c>
      <c r="AL28" s="198">
        <f t="shared" si="1"/>
        <v>0</v>
      </c>
    </row>
    <row r="29" spans="1:38" s="161" customFormat="1" ht="138" hidden="1" x14ac:dyDescent="0.3">
      <c r="A29" s="165">
        <v>28</v>
      </c>
      <c r="B29" s="58" t="s">
        <v>10</v>
      </c>
      <c r="C29" s="58" t="s">
        <v>10</v>
      </c>
      <c r="D29" s="58" t="s">
        <v>908</v>
      </c>
      <c r="E29" s="102" t="s">
        <v>875</v>
      </c>
      <c r="F29" s="102" t="s">
        <v>982</v>
      </c>
      <c r="G29" s="94">
        <v>101</v>
      </c>
      <c r="H29" s="85">
        <v>42881</v>
      </c>
      <c r="I29" s="85">
        <v>46112</v>
      </c>
      <c r="J29" s="85">
        <v>45200</v>
      </c>
      <c r="K29" s="85">
        <v>45291</v>
      </c>
      <c r="L29" s="140" t="s">
        <v>295</v>
      </c>
      <c r="M29" s="174" t="s">
        <v>475</v>
      </c>
      <c r="N29" s="58" t="s">
        <v>11</v>
      </c>
      <c r="O29" s="176">
        <v>45337</v>
      </c>
      <c r="P29" s="58" t="s">
        <v>2</v>
      </c>
      <c r="Q29" s="58" t="s">
        <v>168</v>
      </c>
      <c r="R29" s="58"/>
      <c r="S29" s="181">
        <v>275500</v>
      </c>
      <c r="T29" s="181"/>
      <c r="U29" s="58" t="s">
        <v>8</v>
      </c>
      <c r="V29" s="58"/>
      <c r="W29" s="156"/>
      <c r="X29" s="200"/>
      <c r="Y29" s="200"/>
      <c r="Z29" s="202"/>
      <c r="AA29" s="198"/>
      <c r="AB29" s="198"/>
      <c r="AC29" s="198">
        <v>275500</v>
      </c>
      <c r="AD29" s="198"/>
      <c r="AE29" s="198"/>
      <c r="AF29" s="198"/>
      <c r="AG29" s="198"/>
      <c r="AH29" s="198"/>
      <c r="AI29" s="198"/>
      <c r="AJ29" s="198"/>
      <c r="AK29" s="198">
        <f t="shared" si="0"/>
        <v>275500</v>
      </c>
      <c r="AL29" s="198">
        <f t="shared" si="1"/>
        <v>0</v>
      </c>
    </row>
    <row r="30" spans="1:38" s="161" customFormat="1" ht="69" hidden="1" x14ac:dyDescent="0.3">
      <c r="A30" s="165">
        <v>29</v>
      </c>
      <c r="B30" s="58" t="s">
        <v>0</v>
      </c>
      <c r="C30" s="58" t="s">
        <v>0</v>
      </c>
      <c r="D30" s="58" t="s">
        <v>12</v>
      </c>
      <c r="E30" s="102" t="s">
        <v>773</v>
      </c>
      <c r="F30" s="102" t="s">
        <v>984</v>
      </c>
      <c r="G30" s="94">
        <v>341</v>
      </c>
      <c r="H30" s="85">
        <v>42069</v>
      </c>
      <c r="I30" s="85">
        <v>46022</v>
      </c>
      <c r="J30" s="85">
        <v>45108</v>
      </c>
      <c r="K30" s="85">
        <v>45291</v>
      </c>
      <c r="L30" s="140" t="s">
        <v>872</v>
      </c>
      <c r="M30" s="174" t="s">
        <v>685</v>
      </c>
      <c r="N30" s="58" t="s">
        <v>76</v>
      </c>
      <c r="O30" s="176">
        <v>45341</v>
      </c>
      <c r="P30" s="58" t="s">
        <v>2</v>
      </c>
      <c r="Q30" s="58" t="s">
        <v>168</v>
      </c>
      <c r="R30" s="58"/>
      <c r="S30" s="318">
        <v>32500</v>
      </c>
      <c r="T30" s="181"/>
      <c r="U30" s="58" t="s">
        <v>8</v>
      </c>
      <c r="V30" s="58"/>
      <c r="W30" s="156"/>
      <c r="X30" s="200">
        <v>1100</v>
      </c>
      <c r="Y30" s="200"/>
      <c r="Z30" s="202"/>
      <c r="AA30" s="198">
        <v>3700</v>
      </c>
      <c r="AB30" s="198"/>
      <c r="AC30" s="198">
        <f>300+19400</f>
        <v>19700</v>
      </c>
      <c r="AD30" s="198">
        <v>5700</v>
      </c>
      <c r="AE30" s="198">
        <v>200</v>
      </c>
      <c r="AF30" s="198"/>
      <c r="AG30" s="198"/>
      <c r="AH30" s="198"/>
      <c r="AI30" s="198">
        <v>2100</v>
      </c>
      <c r="AJ30" s="198"/>
      <c r="AK30" s="198">
        <f t="shared" si="0"/>
        <v>32500</v>
      </c>
      <c r="AL30" s="198">
        <f t="shared" si="1"/>
        <v>0</v>
      </c>
    </row>
    <row r="31" spans="1:38" s="165" customFormat="1" ht="13.8" hidden="1" x14ac:dyDescent="0.3">
      <c r="A31" s="165">
        <v>30</v>
      </c>
      <c r="B31" s="109" t="s">
        <v>80</v>
      </c>
      <c r="C31" s="109" t="s">
        <v>80</v>
      </c>
      <c r="D31" s="61" t="s">
        <v>177</v>
      </c>
      <c r="E31" s="61" t="s">
        <v>177</v>
      </c>
      <c r="F31" s="61" t="s">
        <v>973</v>
      </c>
      <c r="G31" s="59" t="s">
        <v>879</v>
      </c>
      <c r="H31" s="59"/>
      <c r="I31" s="59"/>
      <c r="J31" s="107">
        <v>45200</v>
      </c>
      <c r="K31" s="107">
        <v>45291</v>
      </c>
      <c r="L31" s="59" t="s">
        <v>295</v>
      </c>
      <c r="M31" s="61"/>
      <c r="N31" s="109" t="s">
        <v>1</v>
      </c>
      <c r="O31" s="175">
        <v>45343</v>
      </c>
      <c r="P31" s="61" t="s">
        <v>92</v>
      </c>
      <c r="Q31" s="61"/>
      <c r="R31" s="61"/>
      <c r="S31" s="213">
        <v>488898</v>
      </c>
      <c r="T31" s="213">
        <v>488898</v>
      </c>
      <c r="U31" s="109" t="s">
        <v>8</v>
      </c>
      <c r="V31" s="109"/>
      <c r="W31" s="155"/>
      <c r="X31" s="199">
        <v>59116.67</v>
      </c>
      <c r="Y31" s="199">
        <v>18655.55</v>
      </c>
      <c r="Z31" s="202"/>
      <c r="AA31" s="199">
        <v>20996.03</v>
      </c>
      <c r="AB31" s="199"/>
      <c r="AC31" s="199">
        <v>171046.68</v>
      </c>
      <c r="AD31" s="199">
        <v>43921.21</v>
      </c>
      <c r="AE31" s="199">
        <v>51958.9</v>
      </c>
      <c r="AF31" s="199"/>
      <c r="AG31" s="199">
        <v>54497.120000000003</v>
      </c>
      <c r="AH31" s="199">
        <v>17221.810000000001</v>
      </c>
      <c r="AI31" s="199">
        <v>51484.03</v>
      </c>
      <c r="AJ31" s="199"/>
      <c r="AK31" s="198">
        <f t="shared" si="0"/>
        <v>488898</v>
      </c>
      <c r="AL31" s="198">
        <f t="shared" si="1"/>
        <v>0</v>
      </c>
    </row>
    <row r="32" spans="1:38" s="161" customFormat="1" ht="55.2" hidden="1" x14ac:dyDescent="0.3">
      <c r="A32" s="165">
        <v>31</v>
      </c>
      <c r="B32" s="58" t="s">
        <v>117</v>
      </c>
      <c r="C32" s="58" t="s">
        <v>116</v>
      </c>
      <c r="D32" s="58" t="s">
        <v>118</v>
      </c>
      <c r="E32" s="109" t="s">
        <v>883</v>
      </c>
      <c r="F32" s="109" t="s">
        <v>997</v>
      </c>
      <c r="G32" s="94">
        <v>436</v>
      </c>
      <c r="H32" s="85">
        <v>45231</v>
      </c>
      <c r="I32" s="85">
        <v>45961</v>
      </c>
      <c r="J32" s="107">
        <v>45200</v>
      </c>
      <c r="K32" s="107">
        <v>45291</v>
      </c>
      <c r="L32" s="142" t="s">
        <v>295</v>
      </c>
      <c r="M32" s="92" t="s">
        <v>996</v>
      </c>
      <c r="N32" s="58" t="s">
        <v>19</v>
      </c>
      <c r="O32" s="176">
        <v>45344</v>
      </c>
      <c r="P32" s="58" t="s">
        <v>98</v>
      </c>
      <c r="Q32" s="58"/>
      <c r="R32" s="58"/>
      <c r="S32" s="181">
        <v>13069.5</v>
      </c>
      <c r="T32" s="181"/>
      <c r="U32" s="58" t="s">
        <v>16</v>
      </c>
      <c r="V32" s="58"/>
      <c r="X32" s="198">
        <v>355.8</v>
      </c>
      <c r="Y32" s="198"/>
      <c r="Z32" s="198"/>
      <c r="AA32" s="198">
        <v>498.65</v>
      </c>
      <c r="AB32" s="198"/>
      <c r="AC32" s="198">
        <v>6030.05</v>
      </c>
      <c r="AD32" s="198">
        <v>4371.8500000000004</v>
      </c>
      <c r="AE32" s="198"/>
      <c r="AF32" s="198"/>
      <c r="AG32" s="198">
        <v>405.2</v>
      </c>
      <c r="AH32" s="198">
        <v>63</v>
      </c>
      <c r="AI32" s="198">
        <v>1344.95</v>
      </c>
      <c r="AJ32" s="198"/>
      <c r="AK32" s="198">
        <f t="shared" si="0"/>
        <v>13069.500000000002</v>
      </c>
      <c r="AL32" s="198">
        <f t="shared" si="1"/>
        <v>0</v>
      </c>
    </row>
    <row r="33" spans="1:38" s="161" customFormat="1" ht="27.6" hidden="1" x14ac:dyDescent="0.3">
      <c r="A33" s="165">
        <v>32</v>
      </c>
      <c r="B33" s="58" t="s">
        <v>111</v>
      </c>
      <c r="C33" s="58" t="s">
        <v>111</v>
      </c>
      <c r="D33" s="58" t="s">
        <v>112</v>
      </c>
      <c r="E33" s="61" t="s">
        <v>785</v>
      </c>
      <c r="F33" s="231" t="s">
        <v>495</v>
      </c>
      <c r="G33" s="59">
        <v>106</v>
      </c>
      <c r="H33" s="107">
        <v>43617</v>
      </c>
      <c r="I33" s="107">
        <v>47269</v>
      </c>
      <c r="J33" s="107">
        <v>45200</v>
      </c>
      <c r="K33" s="107">
        <v>45291</v>
      </c>
      <c r="L33" s="59" t="s">
        <v>295</v>
      </c>
      <c r="M33" s="179" t="s">
        <v>281</v>
      </c>
      <c r="N33" s="58" t="s">
        <v>1</v>
      </c>
      <c r="O33" s="176">
        <v>45345</v>
      </c>
      <c r="P33" s="58" t="s">
        <v>101</v>
      </c>
      <c r="Q33" s="58"/>
      <c r="R33" s="58"/>
      <c r="S33" s="181">
        <v>21675</v>
      </c>
      <c r="T33" s="181"/>
      <c r="U33" s="58" t="s">
        <v>8</v>
      </c>
      <c r="V33" s="58"/>
      <c r="W33" s="165"/>
      <c r="X33" s="198">
        <v>1387.54</v>
      </c>
      <c r="Y33" s="198"/>
      <c r="Z33" s="198"/>
      <c r="AA33" s="198">
        <f>576.45+69.3</f>
        <v>645.75</v>
      </c>
      <c r="AB33" s="198"/>
      <c r="AC33" s="198">
        <v>6906.63</v>
      </c>
      <c r="AD33" s="198">
        <v>3156.25</v>
      </c>
      <c r="AE33" s="198">
        <v>1321.27</v>
      </c>
      <c r="AF33" s="198"/>
      <c r="AG33" s="198">
        <v>5201.1899999999996</v>
      </c>
      <c r="AH33" s="198"/>
      <c r="AI33" s="198">
        <v>3056.53</v>
      </c>
      <c r="AJ33" s="198"/>
      <c r="AK33" s="198">
        <f t="shared" si="0"/>
        <v>21675.16</v>
      </c>
      <c r="AL33" s="198">
        <f t="shared" si="1"/>
        <v>0.15999999999985448</v>
      </c>
    </row>
    <row r="34" spans="1:38" s="161" customFormat="1" ht="193.2" hidden="1" x14ac:dyDescent="0.3">
      <c r="A34" s="165">
        <v>33</v>
      </c>
      <c r="B34" s="61" t="s">
        <v>17</v>
      </c>
      <c r="C34" s="58" t="s">
        <v>17</v>
      </c>
      <c r="D34" s="58" t="s">
        <v>113</v>
      </c>
      <c r="E34" s="61" t="s">
        <v>862</v>
      </c>
      <c r="F34" s="61" t="s">
        <v>1002</v>
      </c>
      <c r="G34" s="59">
        <v>118</v>
      </c>
      <c r="H34" s="107">
        <v>42005</v>
      </c>
      <c r="I34" s="107">
        <v>46752</v>
      </c>
      <c r="J34" s="107">
        <v>45170</v>
      </c>
      <c r="K34" s="107">
        <v>45260</v>
      </c>
      <c r="L34" s="59" t="s">
        <v>295</v>
      </c>
      <c r="M34" s="186" t="s">
        <v>519</v>
      </c>
      <c r="N34" s="58" t="s">
        <v>5</v>
      </c>
      <c r="O34" s="176">
        <v>45345</v>
      </c>
      <c r="P34" s="58" t="s">
        <v>98</v>
      </c>
      <c r="Q34" s="58"/>
      <c r="R34" s="58"/>
      <c r="S34" s="316">
        <v>525181.88</v>
      </c>
      <c r="T34" s="181"/>
      <c r="U34" s="58" t="s">
        <v>16</v>
      </c>
      <c r="V34" s="58"/>
      <c r="X34" s="198"/>
      <c r="Y34" s="198"/>
      <c r="Z34" s="198"/>
      <c r="AA34" s="198"/>
      <c r="AB34" s="198"/>
      <c r="AC34" s="198">
        <v>525181.88</v>
      </c>
      <c r="AD34" s="198"/>
      <c r="AE34" s="198"/>
      <c r="AF34" s="198"/>
      <c r="AG34" s="198"/>
      <c r="AH34" s="198"/>
      <c r="AI34" s="198"/>
      <c r="AJ34" s="198"/>
      <c r="AK34" s="198">
        <f t="shared" si="0"/>
        <v>525181.88</v>
      </c>
      <c r="AL34" s="198">
        <f t="shared" ref="AL34:AL65" si="2">AK34-S34</f>
        <v>0</v>
      </c>
    </row>
    <row r="35" spans="1:38" s="161" customFormat="1" ht="110.4" hidden="1" x14ac:dyDescent="0.3">
      <c r="A35" s="165">
        <v>34</v>
      </c>
      <c r="B35" s="61" t="s">
        <v>105</v>
      </c>
      <c r="C35" s="58" t="s">
        <v>105</v>
      </c>
      <c r="D35" s="58" t="s">
        <v>106</v>
      </c>
      <c r="E35" s="131" t="s">
        <v>805</v>
      </c>
      <c r="F35" s="24" t="s">
        <v>394</v>
      </c>
      <c r="G35" s="59">
        <v>61</v>
      </c>
      <c r="H35" s="107">
        <v>44498</v>
      </c>
      <c r="I35" s="107">
        <v>46356</v>
      </c>
      <c r="J35" s="107">
        <v>44927</v>
      </c>
      <c r="K35" s="107">
        <v>45291</v>
      </c>
      <c r="L35" s="59" t="s">
        <v>289</v>
      </c>
      <c r="M35" s="186" t="s">
        <v>393</v>
      </c>
      <c r="N35" s="58" t="s">
        <v>1</v>
      </c>
      <c r="O35" s="176">
        <v>45351</v>
      </c>
      <c r="P35" s="58" t="s">
        <v>98</v>
      </c>
      <c r="Q35" s="58"/>
      <c r="R35" s="58"/>
      <c r="S35" s="181">
        <v>441562</v>
      </c>
      <c r="T35" s="181"/>
      <c r="U35" s="58" t="s">
        <v>8</v>
      </c>
      <c r="V35" s="58"/>
      <c r="W35" s="166"/>
      <c r="X35" s="198">
        <v>39288.959999999999</v>
      </c>
      <c r="Y35" s="198"/>
      <c r="Z35" s="198"/>
      <c r="AA35" s="198"/>
      <c r="AB35" s="198"/>
      <c r="AC35" s="198">
        <v>172144.88</v>
      </c>
      <c r="AD35" s="198">
        <v>185347.68</v>
      </c>
      <c r="AE35" s="198"/>
      <c r="AF35" s="198"/>
      <c r="AG35" s="198"/>
      <c r="AH35" s="198">
        <v>9252.7199999999993</v>
      </c>
      <c r="AI35" s="198">
        <v>35527.760000000002</v>
      </c>
      <c r="AJ35" s="198"/>
      <c r="AK35" s="198">
        <f t="shared" si="0"/>
        <v>441562</v>
      </c>
      <c r="AL35" s="198">
        <f t="shared" si="2"/>
        <v>0</v>
      </c>
    </row>
    <row r="36" spans="1:38" s="161" customFormat="1" ht="110.4" hidden="1" x14ac:dyDescent="0.3">
      <c r="A36" s="165">
        <v>35</v>
      </c>
      <c r="B36" s="61" t="s">
        <v>0</v>
      </c>
      <c r="C36" s="61" t="s">
        <v>0</v>
      </c>
      <c r="D36" s="61" t="s">
        <v>15</v>
      </c>
      <c r="E36" s="109" t="s">
        <v>778</v>
      </c>
      <c r="F36" s="231" t="s">
        <v>429</v>
      </c>
      <c r="G36" s="94">
        <v>84</v>
      </c>
      <c r="H36" s="85">
        <v>44044</v>
      </c>
      <c r="I36" s="85">
        <v>46290</v>
      </c>
      <c r="J36" s="107">
        <v>45231</v>
      </c>
      <c r="K36" s="107">
        <v>45322</v>
      </c>
      <c r="L36" s="59" t="s">
        <v>295</v>
      </c>
      <c r="M36" s="174" t="s">
        <v>428</v>
      </c>
      <c r="N36" s="61" t="s">
        <v>1</v>
      </c>
      <c r="O36" s="178">
        <v>45352</v>
      </c>
      <c r="P36" s="61" t="s">
        <v>2</v>
      </c>
      <c r="Q36" s="61" t="s">
        <v>169</v>
      </c>
      <c r="R36" s="61"/>
      <c r="S36" s="318">
        <v>58500</v>
      </c>
      <c r="T36" s="181"/>
      <c r="U36" s="61" t="s">
        <v>16</v>
      </c>
      <c r="V36" s="61"/>
      <c r="W36" s="147"/>
      <c r="X36" s="202"/>
      <c r="Y36" s="202"/>
      <c r="Z36" s="202"/>
      <c r="AA36" s="199"/>
      <c r="AB36" s="199"/>
      <c r="AC36" s="199">
        <v>22500</v>
      </c>
      <c r="AD36" s="199">
        <v>36000</v>
      </c>
      <c r="AE36" s="199"/>
      <c r="AF36" s="199"/>
      <c r="AG36" s="199"/>
      <c r="AH36" s="199"/>
      <c r="AI36" s="199"/>
      <c r="AJ36" s="199"/>
      <c r="AK36" s="198">
        <f t="shared" si="0"/>
        <v>58500</v>
      </c>
      <c r="AL36" s="198">
        <f t="shared" si="2"/>
        <v>0</v>
      </c>
    </row>
    <row r="37" spans="1:38" s="161" customFormat="1" ht="13.8" hidden="1" x14ac:dyDescent="0.3">
      <c r="A37" s="165">
        <v>36</v>
      </c>
      <c r="B37" s="58" t="s">
        <v>17</v>
      </c>
      <c r="C37" s="58" t="s">
        <v>17</v>
      </c>
      <c r="D37" s="58" t="s">
        <v>690</v>
      </c>
      <c r="E37" s="58" t="s">
        <v>690</v>
      </c>
      <c r="F37" s="58" t="s">
        <v>973</v>
      </c>
      <c r="G37" s="59" t="s">
        <v>879</v>
      </c>
      <c r="H37" s="59"/>
      <c r="I37" s="59"/>
      <c r="J37" s="59"/>
      <c r="K37" s="59"/>
      <c r="L37" s="59" t="s">
        <v>901</v>
      </c>
      <c r="M37" s="157"/>
      <c r="N37" s="58" t="s">
        <v>691</v>
      </c>
      <c r="O37" s="178">
        <v>45352</v>
      </c>
      <c r="P37" s="58" t="s">
        <v>98</v>
      </c>
      <c r="Q37" s="58"/>
      <c r="R37" s="58"/>
      <c r="S37" s="316">
        <v>10032</v>
      </c>
      <c r="T37" s="212">
        <v>10032</v>
      </c>
      <c r="U37" s="58" t="s">
        <v>16</v>
      </c>
      <c r="V37" s="58"/>
      <c r="X37" s="198"/>
      <c r="Y37" s="198"/>
      <c r="Z37" s="198"/>
      <c r="AA37" s="198"/>
      <c r="AB37" s="198"/>
      <c r="AC37" s="198"/>
      <c r="AD37" s="198"/>
      <c r="AE37" s="198"/>
      <c r="AF37" s="198"/>
      <c r="AG37" s="198"/>
      <c r="AH37" s="198"/>
      <c r="AI37" s="198"/>
      <c r="AJ37" s="198"/>
      <c r="AK37" s="198">
        <v>10032</v>
      </c>
      <c r="AL37" s="198">
        <f t="shared" si="2"/>
        <v>0</v>
      </c>
    </row>
    <row r="38" spans="1:38" s="161" customFormat="1" ht="41.4" hidden="1" x14ac:dyDescent="0.3">
      <c r="A38" s="165">
        <v>37</v>
      </c>
      <c r="B38" s="58" t="s">
        <v>17</v>
      </c>
      <c r="C38" s="58" t="s">
        <v>17</v>
      </c>
      <c r="D38" s="58" t="s">
        <v>18</v>
      </c>
      <c r="E38" s="102" t="s">
        <v>878</v>
      </c>
      <c r="F38" s="231" t="s">
        <v>306</v>
      </c>
      <c r="G38" s="94">
        <v>12</v>
      </c>
      <c r="H38" s="85">
        <v>41852</v>
      </c>
      <c r="I38" s="85">
        <v>46599</v>
      </c>
      <c r="J38" s="107">
        <v>45227</v>
      </c>
      <c r="K38" s="107">
        <v>45317</v>
      </c>
      <c r="L38" s="59" t="s">
        <v>295</v>
      </c>
      <c r="M38" s="174" t="s">
        <v>305</v>
      </c>
      <c r="N38" s="58" t="s">
        <v>1</v>
      </c>
      <c r="O38" s="176">
        <v>45362</v>
      </c>
      <c r="P38" s="58" t="s">
        <v>2</v>
      </c>
      <c r="Q38" s="58" t="s">
        <v>168</v>
      </c>
      <c r="R38" s="58"/>
      <c r="S38" s="316">
        <v>132315.69</v>
      </c>
      <c r="T38" s="212">
        <f>S38+S39</f>
        <v>138806.19</v>
      </c>
      <c r="U38" s="58" t="s">
        <v>16</v>
      </c>
      <c r="V38" s="58"/>
      <c r="W38" s="156"/>
      <c r="X38" s="200"/>
      <c r="Y38" s="200"/>
      <c r="Z38" s="200"/>
      <c r="AA38" s="198"/>
      <c r="AB38" s="198"/>
      <c r="AC38" s="198">
        <v>132315.69</v>
      </c>
      <c r="AD38" s="198"/>
      <c r="AE38" s="198"/>
      <c r="AF38" s="198"/>
      <c r="AG38" s="198"/>
      <c r="AH38" s="198"/>
      <c r="AI38" s="198"/>
      <c r="AJ38" s="198"/>
      <c r="AK38" s="198">
        <f t="shared" ref="AK38:AK45" si="3">SUM(X38:AJ38)</f>
        <v>132315.69</v>
      </c>
      <c r="AL38" s="198">
        <f t="shared" si="2"/>
        <v>0</v>
      </c>
    </row>
    <row r="39" spans="1:38" s="161" customFormat="1" ht="41.4" hidden="1" x14ac:dyDescent="0.3">
      <c r="A39" s="165">
        <v>38</v>
      </c>
      <c r="B39" s="58" t="s">
        <v>17</v>
      </c>
      <c r="C39" s="58" t="s">
        <v>17</v>
      </c>
      <c r="D39" s="58" t="s">
        <v>18</v>
      </c>
      <c r="E39" s="102" t="s">
        <v>878</v>
      </c>
      <c r="F39" s="231" t="s">
        <v>306</v>
      </c>
      <c r="G39" s="94">
        <v>12</v>
      </c>
      <c r="H39" s="85">
        <v>41852</v>
      </c>
      <c r="I39" s="85">
        <v>46599</v>
      </c>
      <c r="J39" s="107">
        <v>45227</v>
      </c>
      <c r="K39" s="107">
        <v>45317</v>
      </c>
      <c r="L39" s="59" t="s">
        <v>295</v>
      </c>
      <c r="M39" s="174" t="s">
        <v>305</v>
      </c>
      <c r="N39" s="58" t="s">
        <v>1</v>
      </c>
      <c r="O39" s="176">
        <v>45362</v>
      </c>
      <c r="P39" s="58" t="s">
        <v>2</v>
      </c>
      <c r="Q39" s="58" t="s">
        <v>168</v>
      </c>
      <c r="R39" s="58"/>
      <c r="S39" s="316">
        <v>6490.5</v>
      </c>
      <c r="T39" s="181">
        <v>138806.19</v>
      </c>
      <c r="U39" s="58" t="s">
        <v>16</v>
      </c>
      <c r="V39" s="58"/>
      <c r="W39" s="156"/>
      <c r="X39" s="200"/>
      <c r="Y39" s="200"/>
      <c r="Z39" s="200"/>
      <c r="AA39" s="198"/>
      <c r="AB39" s="198"/>
      <c r="AC39" s="198"/>
      <c r="AD39" s="198">
        <v>6490.5</v>
      </c>
      <c r="AE39" s="198"/>
      <c r="AF39" s="198"/>
      <c r="AG39" s="198"/>
      <c r="AH39" s="198"/>
      <c r="AI39" s="198"/>
      <c r="AJ39" s="198"/>
      <c r="AK39" s="198">
        <f t="shared" si="3"/>
        <v>6490.5</v>
      </c>
      <c r="AL39" s="198">
        <f t="shared" si="2"/>
        <v>0</v>
      </c>
    </row>
    <row r="40" spans="1:38" s="161" customFormat="1" ht="27.6" hidden="1" x14ac:dyDescent="0.3">
      <c r="A40" s="165">
        <v>39</v>
      </c>
      <c r="B40" s="61" t="s">
        <v>0</v>
      </c>
      <c r="C40" s="61" t="s">
        <v>0</v>
      </c>
      <c r="D40" s="61" t="s">
        <v>1139</v>
      </c>
      <c r="E40" s="102" t="s">
        <v>778</v>
      </c>
      <c r="F40" s="313" t="s">
        <v>1003</v>
      </c>
      <c r="G40" s="314" t="s">
        <v>1140</v>
      </c>
      <c r="H40" s="85">
        <v>44044</v>
      </c>
      <c r="I40" s="85">
        <v>46290</v>
      </c>
      <c r="J40" s="107">
        <v>45139</v>
      </c>
      <c r="K40" s="107">
        <v>45322</v>
      </c>
      <c r="L40" s="59" t="s">
        <v>872</v>
      </c>
      <c r="M40" s="174" t="s">
        <v>428</v>
      </c>
      <c r="N40" s="61" t="s">
        <v>89</v>
      </c>
      <c r="O40" s="178">
        <v>45366</v>
      </c>
      <c r="P40" s="61" t="s">
        <v>2</v>
      </c>
      <c r="Q40" s="61" t="s">
        <v>168</v>
      </c>
      <c r="R40" s="61"/>
      <c r="S40" s="318">
        <v>22770</v>
      </c>
      <c r="T40" s="181"/>
      <c r="U40" s="61" t="s">
        <v>16</v>
      </c>
      <c r="V40" s="61"/>
      <c r="W40" s="149"/>
      <c r="X40" s="202">
        <v>3255</v>
      </c>
      <c r="Y40" s="202"/>
      <c r="Z40" s="202"/>
      <c r="AA40" s="199"/>
      <c r="AB40" s="199"/>
      <c r="AC40" s="199">
        <v>8620</v>
      </c>
      <c r="AD40" s="199">
        <v>3760</v>
      </c>
      <c r="AE40" s="199">
        <v>1655</v>
      </c>
      <c r="AF40" s="199"/>
      <c r="AG40" s="199"/>
      <c r="AH40" s="199"/>
      <c r="AI40" s="199">
        <v>5480</v>
      </c>
      <c r="AJ40" s="199"/>
      <c r="AK40" s="198">
        <f t="shared" si="3"/>
        <v>22770</v>
      </c>
      <c r="AL40" s="198">
        <f t="shared" si="2"/>
        <v>0</v>
      </c>
    </row>
    <row r="41" spans="1:38" s="161" customFormat="1" ht="55.2" hidden="1" x14ac:dyDescent="0.3">
      <c r="A41" s="165">
        <v>40</v>
      </c>
      <c r="B41" s="58" t="s">
        <v>17</v>
      </c>
      <c r="C41" s="58" t="s">
        <v>17</v>
      </c>
      <c r="D41" s="58" t="s">
        <v>20</v>
      </c>
      <c r="E41" s="102" t="s">
        <v>771</v>
      </c>
      <c r="F41" s="231" t="s">
        <v>311</v>
      </c>
      <c r="G41" s="94">
        <v>17</v>
      </c>
      <c r="H41" s="85">
        <v>43452</v>
      </c>
      <c r="I41" s="85">
        <v>46387</v>
      </c>
      <c r="J41" s="107">
        <v>45227</v>
      </c>
      <c r="K41" s="107">
        <v>45317</v>
      </c>
      <c r="L41" s="59" t="s">
        <v>295</v>
      </c>
      <c r="M41" s="179" t="s">
        <v>310</v>
      </c>
      <c r="N41" s="58" t="s">
        <v>1</v>
      </c>
      <c r="O41" s="176">
        <v>45376</v>
      </c>
      <c r="P41" s="58" t="s">
        <v>2</v>
      </c>
      <c r="Q41" s="58" t="s">
        <v>168</v>
      </c>
      <c r="R41" s="58"/>
      <c r="S41" s="316">
        <v>23850</v>
      </c>
      <c r="T41" s="181"/>
      <c r="U41" s="58" t="s">
        <v>16</v>
      </c>
      <c r="V41" s="58"/>
      <c r="W41" s="156"/>
      <c r="X41" s="200">
        <v>2250</v>
      </c>
      <c r="Y41" s="200"/>
      <c r="Z41" s="200"/>
      <c r="AA41" s="198"/>
      <c r="AB41" s="198"/>
      <c r="AC41" s="198">
        <v>18225</v>
      </c>
      <c r="AD41" s="198">
        <v>1350</v>
      </c>
      <c r="AE41" s="198">
        <v>1350</v>
      </c>
      <c r="AF41" s="198"/>
      <c r="AG41" s="198">
        <v>675</v>
      </c>
      <c r="AH41" s="198"/>
      <c r="AI41" s="198"/>
      <c r="AJ41" s="198"/>
      <c r="AK41" s="198">
        <f t="shared" si="3"/>
        <v>23850</v>
      </c>
      <c r="AL41" s="198">
        <f t="shared" si="2"/>
        <v>0</v>
      </c>
    </row>
    <row r="42" spans="1:38" s="161" customFormat="1" ht="27.6" hidden="1" x14ac:dyDescent="0.3">
      <c r="A42" s="165">
        <v>41</v>
      </c>
      <c r="B42" s="58" t="s">
        <v>17</v>
      </c>
      <c r="C42" s="58" t="s">
        <v>17</v>
      </c>
      <c r="D42" s="61" t="s">
        <v>22</v>
      </c>
      <c r="E42" s="143" t="s">
        <v>22</v>
      </c>
      <c r="F42" s="58" t="s">
        <v>973</v>
      </c>
      <c r="G42" s="59" t="s">
        <v>879</v>
      </c>
      <c r="H42" s="59"/>
      <c r="I42" s="59"/>
      <c r="J42" s="59"/>
      <c r="K42" s="59"/>
      <c r="L42" s="59" t="s">
        <v>901</v>
      </c>
      <c r="M42" s="157"/>
      <c r="N42" s="58" t="s">
        <v>1</v>
      </c>
      <c r="O42" s="176">
        <v>45376</v>
      </c>
      <c r="P42" s="58" t="s">
        <v>2</v>
      </c>
      <c r="Q42" s="58" t="s">
        <v>168</v>
      </c>
      <c r="R42" s="58"/>
      <c r="S42" s="318">
        <v>13500</v>
      </c>
      <c r="T42" s="181"/>
      <c r="U42" s="58" t="s">
        <v>16</v>
      </c>
      <c r="V42" s="58"/>
      <c r="W42" s="156"/>
      <c r="X42" s="200"/>
      <c r="Y42" s="200"/>
      <c r="Z42" s="200"/>
      <c r="AA42" s="198"/>
      <c r="AB42" s="198"/>
      <c r="AC42" s="198">
        <v>13500</v>
      </c>
      <c r="AD42" s="198"/>
      <c r="AE42" s="198"/>
      <c r="AF42" s="198"/>
      <c r="AG42" s="198"/>
      <c r="AH42" s="198"/>
      <c r="AI42" s="198"/>
      <c r="AJ42" s="198"/>
      <c r="AK42" s="198">
        <f t="shared" si="3"/>
        <v>13500</v>
      </c>
      <c r="AL42" s="198">
        <f t="shared" si="2"/>
        <v>0</v>
      </c>
    </row>
    <row r="43" spans="1:38" s="161" customFormat="1" ht="69" hidden="1" x14ac:dyDescent="0.3">
      <c r="A43" s="165">
        <v>42</v>
      </c>
      <c r="B43" s="58" t="s">
        <v>0</v>
      </c>
      <c r="C43" s="58" t="s">
        <v>0</v>
      </c>
      <c r="D43" s="58" t="s">
        <v>21</v>
      </c>
      <c r="E43" s="109" t="s">
        <v>886</v>
      </c>
      <c r="F43" s="231" t="s">
        <v>432</v>
      </c>
      <c r="G43" s="94">
        <v>85</v>
      </c>
      <c r="H43" s="85">
        <v>42500</v>
      </c>
      <c r="I43" s="85">
        <v>46418</v>
      </c>
      <c r="J43" s="107">
        <v>45170</v>
      </c>
      <c r="K43" s="107">
        <v>45351</v>
      </c>
      <c r="L43" s="59" t="s">
        <v>872</v>
      </c>
      <c r="M43" s="174" t="s">
        <v>431</v>
      </c>
      <c r="N43" s="58" t="s">
        <v>77</v>
      </c>
      <c r="O43" s="176">
        <v>45380</v>
      </c>
      <c r="P43" s="58" t="s">
        <v>2</v>
      </c>
      <c r="Q43" s="58" t="s">
        <v>168</v>
      </c>
      <c r="R43" s="58"/>
      <c r="S43" s="318">
        <v>117000</v>
      </c>
      <c r="T43" s="212"/>
      <c r="U43" s="58" t="s">
        <v>16</v>
      </c>
      <c r="V43" s="58"/>
      <c r="W43" s="156"/>
      <c r="X43" s="200"/>
      <c r="Y43" s="200"/>
      <c r="Z43" s="200"/>
      <c r="AA43" s="198"/>
      <c r="AB43" s="198"/>
      <c r="AC43" s="198">
        <v>117000</v>
      </c>
      <c r="AD43" s="198"/>
      <c r="AE43" s="198"/>
      <c r="AF43" s="198"/>
      <c r="AG43" s="198"/>
      <c r="AH43" s="198"/>
      <c r="AI43" s="198"/>
      <c r="AJ43" s="198"/>
      <c r="AK43" s="198">
        <f t="shared" si="3"/>
        <v>117000</v>
      </c>
      <c r="AL43" s="198">
        <f t="shared" si="2"/>
        <v>0</v>
      </c>
    </row>
    <row r="44" spans="1:38" s="161" customFormat="1" ht="110.4" hidden="1" x14ac:dyDescent="0.3">
      <c r="A44" s="165">
        <v>43</v>
      </c>
      <c r="B44" s="58" t="s">
        <v>0</v>
      </c>
      <c r="C44" s="58" t="s">
        <v>0</v>
      </c>
      <c r="D44" s="58" t="s">
        <v>74</v>
      </c>
      <c r="E44" s="102" t="s">
        <v>778</v>
      </c>
      <c r="F44" s="231" t="s">
        <v>429</v>
      </c>
      <c r="G44" s="94">
        <v>84</v>
      </c>
      <c r="H44" s="85">
        <v>44044</v>
      </c>
      <c r="I44" s="85">
        <v>46290</v>
      </c>
      <c r="J44" s="107">
        <v>45200</v>
      </c>
      <c r="K44" s="107">
        <v>45291</v>
      </c>
      <c r="L44" s="59" t="s">
        <v>295</v>
      </c>
      <c r="M44" s="174" t="s">
        <v>428</v>
      </c>
      <c r="N44" s="58" t="s">
        <v>73</v>
      </c>
      <c r="O44" s="178">
        <v>45380</v>
      </c>
      <c r="P44" s="58" t="s">
        <v>2</v>
      </c>
      <c r="Q44" s="58" t="s">
        <v>169</v>
      </c>
      <c r="R44" s="58"/>
      <c r="S44" s="318">
        <v>221560.13</v>
      </c>
      <c r="T44" s="212">
        <v>249460.13</v>
      </c>
      <c r="U44" s="61" t="s">
        <v>24</v>
      </c>
      <c r="V44" s="61"/>
      <c r="W44" s="149"/>
      <c r="X44" s="202">
        <v>22005.5</v>
      </c>
      <c r="Y44" s="202"/>
      <c r="Z44" s="202"/>
      <c r="AA44" s="199">
        <v>179.14</v>
      </c>
      <c r="AB44" s="199"/>
      <c r="AC44" s="199">
        <v>67930.899999999994</v>
      </c>
      <c r="AD44" s="199">
        <v>90521.58</v>
      </c>
      <c r="AE44" s="199">
        <v>18830.330000000002</v>
      </c>
      <c r="AF44" s="199"/>
      <c r="AG44" s="199"/>
      <c r="AH44" s="199"/>
      <c r="AI44" s="199">
        <v>22092.68</v>
      </c>
      <c r="AJ44" s="199"/>
      <c r="AK44" s="198">
        <f t="shared" si="3"/>
        <v>221560.13</v>
      </c>
      <c r="AL44" s="198">
        <f t="shared" si="2"/>
        <v>0</v>
      </c>
    </row>
    <row r="45" spans="1:38" s="161" customFormat="1" ht="110.4" hidden="1" x14ac:dyDescent="0.3">
      <c r="A45" s="165">
        <v>44</v>
      </c>
      <c r="B45" s="58" t="s">
        <v>0</v>
      </c>
      <c r="C45" s="58" t="s">
        <v>0</v>
      </c>
      <c r="D45" s="58" t="s">
        <v>75</v>
      </c>
      <c r="E45" s="102" t="s">
        <v>778</v>
      </c>
      <c r="F45" s="231" t="s">
        <v>429</v>
      </c>
      <c r="G45" s="94">
        <v>84</v>
      </c>
      <c r="H45" s="85">
        <v>44044</v>
      </c>
      <c r="I45" s="85">
        <v>46290</v>
      </c>
      <c r="J45" s="107">
        <v>45200</v>
      </c>
      <c r="K45" s="107">
        <v>45291</v>
      </c>
      <c r="L45" s="59" t="s">
        <v>295</v>
      </c>
      <c r="M45" s="174" t="s">
        <v>428</v>
      </c>
      <c r="N45" s="58" t="s">
        <v>73</v>
      </c>
      <c r="O45" s="178">
        <v>45380</v>
      </c>
      <c r="P45" s="58" t="s">
        <v>2</v>
      </c>
      <c r="Q45" s="58" t="s">
        <v>169</v>
      </c>
      <c r="R45" s="58"/>
      <c r="S45" s="318">
        <v>27900</v>
      </c>
      <c r="T45" s="181">
        <v>249460.13</v>
      </c>
      <c r="U45" s="58" t="s">
        <v>24</v>
      </c>
      <c r="V45" s="58"/>
      <c r="W45" s="156"/>
      <c r="X45" s="200">
        <v>1350</v>
      </c>
      <c r="Y45" s="200"/>
      <c r="Z45" s="200"/>
      <c r="AA45" s="198">
        <v>2700</v>
      </c>
      <c r="AB45" s="198">
        <v>450</v>
      </c>
      <c r="AC45" s="198">
        <v>9000</v>
      </c>
      <c r="AD45" s="198">
        <v>13050</v>
      </c>
      <c r="AE45" s="198">
        <v>1350</v>
      </c>
      <c r="AF45" s="198"/>
      <c r="AG45" s="198"/>
      <c r="AH45" s="198"/>
      <c r="AI45" s="198"/>
      <c r="AJ45" s="198"/>
      <c r="AK45" s="198">
        <f t="shared" si="3"/>
        <v>27900</v>
      </c>
      <c r="AL45" s="198">
        <f t="shared" si="2"/>
        <v>0</v>
      </c>
    </row>
    <row r="46" spans="1:38" s="161" customFormat="1" ht="13.8" hidden="1" x14ac:dyDescent="0.3">
      <c r="A46" s="165">
        <v>45</v>
      </c>
      <c r="B46" s="58" t="s">
        <v>14</v>
      </c>
      <c r="C46" s="58" t="s">
        <v>14</v>
      </c>
      <c r="D46" s="58" t="s">
        <v>688</v>
      </c>
      <c r="E46" s="58" t="s">
        <v>688</v>
      </c>
      <c r="F46" s="61" t="s">
        <v>973</v>
      </c>
      <c r="G46" s="59" t="s">
        <v>879</v>
      </c>
      <c r="H46" s="59"/>
      <c r="I46" s="59"/>
      <c r="J46" s="59"/>
      <c r="K46" s="59"/>
      <c r="L46" s="59" t="s">
        <v>901</v>
      </c>
      <c r="M46" s="157"/>
      <c r="N46" s="58" t="s">
        <v>689</v>
      </c>
      <c r="O46" s="178">
        <v>45383</v>
      </c>
      <c r="P46" s="58" t="s">
        <v>98</v>
      </c>
      <c r="Q46" s="58"/>
      <c r="R46" s="58"/>
      <c r="S46" s="181">
        <v>79552</v>
      </c>
      <c r="T46" s="181">
        <v>79522</v>
      </c>
      <c r="U46" s="58" t="s">
        <v>24</v>
      </c>
      <c r="V46" s="58"/>
      <c r="X46" s="198"/>
      <c r="Y46" s="198"/>
      <c r="Z46" s="198"/>
      <c r="AA46" s="198"/>
      <c r="AB46" s="198"/>
      <c r="AC46" s="198"/>
      <c r="AD46" s="198"/>
      <c r="AE46" s="198"/>
      <c r="AF46" s="198"/>
      <c r="AG46" s="198"/>
      <c r="AH46" s="198"/>
      <c r="AI46" s="198"/>
      <c r="AJ46" s="198"/>
      <c r="AK46" s="198">
        <v>79552</v>
      </c>
      <c r="AL46" s="198">
        <f t="shared" si="2"/>
        <v>0</v>
      </c>
    </row>
    <row r="47" spans="1:38" s="161" customFormat="1" ht="13.8" hidden="1" x14ac:dyDescent="0.3">
      <c r="A47" s="165">
        <v>46</v>
      </c>
      <c r="B47" s="58" t="s">
        <v>14</v>
      </c>
      <c r="C47" s="58" t="s">
        <v>14</v>
      </c>
      <c r="D47" s="58" t="s">
        <v>692</v>
      </c>
      <c r="E47" s="58" t="s">
        <v>692</v>
      </c>
      <c r="F47" s="61" t="s">
        <v>973</v>
      </c>
      <c r="G47" s="59" t="s">
        <v>879</v>
      </c>
      <c r="H47" s="59"/>
      <c r="I47" s="59"/>
      <c r="J47" s="59"/>
      <c r="K47" s="59"/>
      <c r="L47" s="59" t="s">
        <v>901</v>
      </c>
      <c r="M47" s="58"/>
      <c r="N47" s="58" t="s">
        <v>689</v>
      </c>
      <c r="O47" s="178">
        <v>45383</v>
      </c>
      <c r="P47" s="58" t="s">
        <v>98</v>
      </c>
      <c r="Q47" s="58"/>
      <c r="R47" s="58"/>
      <c r="S47" s="181">
        <v>51855</v>
      </c>
      <c r="T47" s="181">
        <v>51855</v>
      </c>
      <c r="U47" s="58" t="s">
        <v>24</v>
      </c>
      <c r="V47" s="58"/>
      <c r="X47" s="198"/>
      <c r="Y47" s="198"/>
      <c r="Z47" s="198"/>
      <c r="AA47" s="198"/>
      <c r="AB47" s="198"/>
      <c r="AC47" s="198"/>
      <c r="AD47" s="198"/>
      <c r="AE47" s="198"/>
      <c r="AF47" s="198"/>
      <c r="AG47" s="198"/>
      <c r="AH47" s="198"/>
      <c r="AI47" s="198"/>
      <c r="AJ47" s="198"/>
      <c r="AK47" s="198">
        <v>51855</v>
      </c>
      <c r="AL47" s="198">
        <f t="shared" si="2"/>
        <v>0</v>
      </c>
    </row>
    <row r="48" spans="1:38" s="161" customFormat="1" ht="110.4" hidden="1" x14ac:dyDescent="0.3">
      <c r="A48" s="165">
        <v>47</v>
      </c>
      <c r="B48" s="58" t="s">
        <v>0</v>
      </c>
      <c r="C48" s="58" t="s">
        <v>0</v>
      </c>
      <c r="D48" s="58" t="s">
        <v>23</v>
      </c>
      <c r="E48" s="163" t="s">
        <v>778</v>
      </c>
      <c r="F48" s="231" t="s">
        <v>429</v>
      </c>
      <c r="G48" s="94">
        <v>84</v>
      </c>
      <c r="H48" s="85">
        <v>44044</v>
      </c>
      <c r="I48" s="85">
        <v>46290</v>
      </c>
      <c r="J48" s="107">
        <v>45261</v>
      </c>
      <c r="K48" s="107">
        <v>45351</v>
      </c>
      <c r="L48" s="59" t="s">
        <v>289</v>
      </c>
      <c r="M48" s="174" t="s">
        <v>428</v>
      </c>
      <c r="N48" s="58" t="s">
        <v>1</v>
      </c>
      <c r="O48" s="176">
        <v>45384</v>
      </c>
      <c r="P48" s="58" t="s">
        <v>2</v>
      </c>
      <c r="Q48" s="58" t="s">
        <v>169</v>
      </c>
      <c r="R48" s="58"/>
      <c r="S48" s="316">
        <v>204000</v>
      </c>
      <c r="T48" s="181"/>
      <c r="U48" s="58" t="s">
        <v>24</v>
      </c>
      <c r="V48" s="58"/>
      <c r="W48" s="156"/>
      <c r="X48" s="200"/>
      <c r="Y48" s="200"/>
      <c r="Z48" s="200"/>
      <c r="AA48" s="198"/>
      <c r="AB48" s="198"/>
      <c r="AC48" s="198">
        <v>204000</v>
      </c>
      <c r="AD48" s="198"/>
      <c r="AE48" s="198"/>
      <c r="AF48" s="198"/>
      <c r="AG48" s="198"/>
      <c r="AH48" s="198"/>
      <c r="AI48" s="198"/>
      <c r="AJ48" s="198"/>
      <c r="AK48" s="198">
        <f t="shared" ref="AK48:AK79" si="4">SUM(X48:AJ48)</f>
        <v>204000</v>
      </c>
      <c r="AL48" s="198">
        <f t="shared" si="2"/>
        <v>0</v>
      </c>
    </row>
    <row r="49" spans="1:44" s="165" customFormat="1" ht="69" hidden="1" x14ac:dyDescent="0.3">
      <c r="A49" s="165">
        <v>48</v>
      </c>
      <c r="B49" s="58" t="s">
        <v>0</v>
      </c>
      <c r="C49" s="58" t="s">
        <v>0</v>
      </c>
      <c r="D49" s="58" t="s">
        <v>25</v>
      </c>
      <c r="E49" s="102" t="s">
        <v>773</v>
      </c>
      <c r="F49" s="102" t="s">
        <v>984</v>
      </c>
      <c r="G49" s="94">
        <v>341</v>
      </c>
      <c r="H49" s="85">
        <v>42069</v>
      </c>
      <c r="I49" s="85">
        <v>46022</v>
      </c>
      <c r="J49" s="107">
        <v>45170</v>
      </c>
      <c r="K49" s="107">
        <v>45351</v>
      </c>
      <c r="L49" s="144" t="s">
        <v>872</v>
      </c>
      <c r="M49" s="174" t="s">
        <v>685</v>
      </c>
      <c r="N49" s="58" t="s">
        <v>72</v>
      </c>
      <c r="O49" s="176">
        <v>45385</v>
      </c>
      <c r="P49" s="58" t="s">
        <v>2</v>
      </c>
      <c r="Q49" s="58" t="s">
        <v>168</v>
      </c>
      <c r="R49" s="58"/>
      <c r="S49" s="316">
        <v>188633.11</v>
      </c>
      <c r="T49" s="181"/>
      <c r="U49" s="58" t="s">
        <v>24</v>
      </c>
      <c r="V49" s="58"/>
      <c r="W49" s="156"/>
      <c r="X49" s="200">
        <f>SUM(1512.14+500)</f>
        <v>2012.14</v>
      </c>
      <c r="Y49" s="200"/>
      <c r="Z49" s="200"/>
      <c r="AA49" s="198">
        <v>1268.6300000000001</v>
      </c>
      <c r="AB49" s="198"/>
      <c r="AC49" s="198">
        <f>SUM(60269.85+66519.86+7700+19422+400+1494+6000)</f>
        <v>161805.71</v>
      </c>
      <c r="AD49" s="198">
        <f>SUM(15274.17+1700+200+1245+1200)</f>
        <v>19619.169999999998</v>
      </c>
      <c r="AE49" s="198">
        <v>2693.69</v>
      </c>
      <c r="AF49" s="198"/>
      <c r="AG49" s="198"/>
      <c r="AH49" s="198"/>
      <c r="AI49" s="198">
        <v>1233.78</v>
      </c>
      <c r="AJ49" s="198"/>
      <c r="AK49" s="198">
        <f t="shared" si="4"/>
        <v>188633.11999999997</v>
      </c>
      <c r="AL49" s="198">
        <f t="shared" si="2"/>
        <v>9.9999999802093953E-3</v>
      </c>
      <c r="AM49" s="161"/>
      <c r="AN49" s="161"/>
      <c r="AO49" s="161"/>
      <c r="AP49" s="161"/>
      <c r="AQ49" s="161"/>
      <c r="AR49" s="161"/>
    </row>
    <row r="50" spans="1:44" s="165" customFormat="1" ht="13.8" hidden="1" x14ac:dyDescent="0.3">
      <c r="A50" s="165">
        <v>49</v>
      </c>
      <c r="B50" s="58" t="s">
        <v>119</v>
      </c>
      <c r="C50" s="58" t="s">
        <v>119</v>
      </c>
      <c r="D50" s="58" t="s">
        <v>120</v>
      </c>
      <c r="E50" s="58" t="s">
        <v>120</v>
      </c>
      <c r="F50" s="61" t="s">
        <v>973</v>
      </c>
      <c r="G50" s="59" t="s">
        <v>879</v>
      </c>
      <c r="H50" s="59"/>
      <c r="I50" s="59"/>
      <c r="J50" s="59"/>
      <c r="K50" s="59"/>
      <c r="L50" s="144" t="s">
        <v>901</v>
      </c>
      <c r="M50" s="157"/>
      <c r="N50" s="58" t="s">
        <v>1</v>
      </c>
      <c r="O50" s="176">
        <v>45385</v>
      </c>
      <c r="P50" s="58" t="s">
        <v>101</v>
      </c>
      <c r="Q50" s="58"/>
      <c r="R50" s="58"/>
      <c r="S50" s="181">
        <v>88</v>
      </c>
      <c r="T50" s="181"/>
      <c r="U50" s="58" t="s">
        <v>24</v>
      </c>
      <c r="V50" s="58"/>
      <c r="W50" s="161"/>
      <c r="X50" s="198"/>
      <c r="Y50" s="198"/>
      <c r="Z50" s="198"/>
      <c r="AA50" s="198"/>
      <c r="AB50" s="198"/>
      <c r="AC50" s="198"/>
      <c r="AD50" s="198"/>
      <c r="AE50" s="198"/>
      <c r="AF50" s="198"/>
      <c r="AG50" s="198"/>
      <c r="AH50" s="198"/>
      <c r="AI50" s="198">
        <v>88</v>
      </c>
      <c r="AJ50" s="198"/>
      <c r="AK50" s="198">
        <f t="shared" si="4"/>
        <v>88</v>
      </c>
      <c r="AL50" s="198">
        <f t="shared" si="2"/>
        <v>0</v>
      </c>
      <c r="AM50" s="161"/>
      <c r="AN50" s="161"/>
      <c r="AO50" s="161"/>
      <c r="AP50" s="161"/>
      <c r="AQ50" s="161"/>
      <c r="AR50" s="161"/>
    </row>
    <row r="51" spans="1:44" s="165" customFormat="1" ht="124.2" hidden="1" x14ac:dyDescent="0.3">
      <c r="A51" s="165">
        <v>50</v>
      </c>
      <c r="B51" s="58" t="s">
        <v>0</v>
      </c>
      <c r="C51" s="58" t="s">
        <v>0</v>
      </c>
      <c r="D51" s="58" t="s">
        <v>26</v>
      </c>
      <c r="E51" s="102" t="s">
        <v>881</v>
      </c>
      <c r="F51" s="231" t="s">
        <v>438</v>
      </c>
      <c r="G51" s="94">
        <v>88</v>
      </c>
      <c r="H51" s="85">
        <v>42591</v>
      </c>
      <c r="I51" s="85">
        <v>45961</v>
      </c>
      <c r="J51" s="107">
        <v>45231</v>
      </c>
      <c r="K51" s="107">
        <v>45322</v>
      </c>
      <c r="L51" s="144" t="s">
        <v>295</v>
      </c>
      <c r="M51" s="174" t="s">
        <v>437</v>
      </c>
      <c r="N51" s="58" t="s">
        <v>1</v>
      </c>
      <c r="O51" s="176">
        <v>45392</v>
      </c>
      <c r="P51" s="58" t="s">
        <v>2</v>
      </c>
      <c r="Q51" s="58" t="s">
        <v>166</v>
      </c>
      <c r="R51" s="58"/>
      <c r="S51" s="318">
        <v>48585</v>
      </c>
      <c r="T51" s="181"/>
      <c r="U51" s="58" t="s">
        <v>24</v>
      </c>
      <c r="V51" s="58" t="s">
        <v>27</v>
      </c>
      <c r="W51" s="156"/>
      <c r="X51" s="200"/>
      <c r="Y51" s="200"/>
      <c r="Z51" s="200"/>
      <c r="AA51" s="198"/>
      <c r="AB51" s="198"/>
      <c r="AC51" s="198">
        <f>SUM(2985+32300)</f>
        <v>35285</v>
      </c>
      <c r="AD51" s="198">
        <f>SUM(10165+3135)</f>
        <v>13300</v>
      </c>
      <c r="AE51" s="198"/>
      <c r="AF51" s="198"/>
      <c r="AG51" s="198"/>
      <c r="AH51" s="198"/>
      <c r="AI51" s="198"/>
      <c r="AJ51" s="198"/>
      <c r="AK51" s="198">
        <f t="shared" si="4"/>
        <v>48585</v>
      </c>
      <c r="AL51" s="198">
        <f t="shared" si="2"/>
        <v>0</v>
      </c>
      <c r="AM51" s="161"/>
      <c r="AN51" s="161"/>
      <c r="AO51" s="161"/>
      <c r="AP51" s="161"/>
      <c r="AQ51" s="161"/>
      <c r="AR51" s="161"/>
    </row>
    <row r="52" spans="1:44" s="161" customFormat="1" ht="372.6" hidden="1" x14ac:dyDescent="0.3">
      <c r="A52" s="165">
        <v>51</v>
      </c>
      <c r="B52" s="61" t="s">
        <v>30</v>
      </c>
      <c r="C52" s="61" t="s">
        <v>30</v>
      </c>
      <c r="D52" s="109" t="s">
        <v>220</v>
      </c>
      <c r="E52" s="102" t="s">
        <v>874</v>
      </c>
      <c r="F52" s="231" t="s">
        <v>381</v>
      </c>
      <c r="G52" s="94">
        <v>175</v>
      </c>
      <c r="H52" s="85">
        <v>42061</v>
      </c>
      <c r="I52" s="85">
        <v>46446</v>
      </c>
      <c r="J52" s="85">
        <v>45292</v>
      </c>
      <c r="K52" s="85">
        <v>45382</v>
      </c>
      <c r="L52" s="94" t="s">
        <v>295</v>
      </c>
      <c r="M52" s="174" t="s">
        <v>380</v>
      </c>
      <c r="N52" s="61" t="s">
        <v>5</v>
      </c>
      <c r="O52" s="178">
        <v>45394</v>
      </c>
      <c r="P52" s="61" t="s">
        <v>2</v>
      </c>
      <c r="Q52" s="61" t="s">
        <v>168</v>
      </c>
      <c r="R52" s="61"/>
      <c r="S52" s="318">
        <f>24000+8000</f>
        <v>32000</v>
      </c>
      <c r="T52" s="181"/>
      <c r="U52" s="61"/>
      <c r="V52" s="109"/>
      <c r="W52" s="155"/>
      <c r="X52" s="199"/>
      <c r="Y52" s="199"/>
      <c r="Z52" s="199"/>
      <c r="AA52" s="199"/>
      <c r="AB52" s="199"/>
      <c r="AC52" s="199">
        <v>24000</v>
      </c>
      <c r="AD52" s="199">
        <v>8000</v>
      </c>
      <c r="AE52" s="199"/>
      <c r="AF52" s="199"/>
      <c r="AG52" s="199"/>
      <c r="AH52" s="199"/>
      <c r="AI52" s="199"/>
      <c r="AJ52" s="199"/>
      <c r="AK52" s="198">
        <f t="shared" si="4"/>
        <v>32000</v>
      </c>
      <c r="AL52" s="198">
        <f t="shared" si="2"/>
        <v>0</v>
      </c>
      <c r="AM52" s="165"/>
      <c r="AN52" s="165"/>
      <c r="AO52" s="165"/>
      <c r="AP52" s="165"/>
      <c r="AQ52" s="165"/>
      <c r="AR52" s="165"/>
    </row>
    <row r="53" spans="1:44" s="165" customFormat="1" ht="372.6" hidden="1" x14ac:dyDescent="0.3">
      <c r="A53" s="165">
        <v>52</v>
      </c>
      <c r="B53" s="61" t="s">
        <v>30</v>
      </c>
      <c r="C53" s="61" t="s">
        <v>30</v>
      </c>
      <c r="D53" s="109" t="s">
        <v>221</v>
      </c>
      <c r="E53" s="102" t="s">
        <v>874</v>
      </c>
      <c r="F53" s="231" t="s">
        <v>381</v>
      </c>
      <c r="G53" s="94">
        <v>174</v>
      </c>
      <c r="H53" s="85">
        <v>42061</v>
      </c>
      <c r="I53" s="85">
        <v>46446</v>
      </c>
      <c r="J53" s="85">
        <v>45292</v>
      </c>
      <c r="K53" s="85">
        <v>45382</v>
      </c>
      <c r="L53" s="145" t="s">
        <v>295</v>
      </c>
      <c r="M53" s="184" t="s">
        <v>380</v>
      </c>
      <c r="N53" s="61" t="s">
        <v>5</v>
      </c>
      <c r="O53" s="178">
        <v>45394</v>
      </c>
      <c r="P53" s="61" t="s">
        <v>2</v>
      </c>
      <c r="Q53" s="61" t="s">
        <v>168</v>
      </c>
      <c r="R53" s="61"/>
      <c r="S53" s="318">
        <v>12993.5</v>
      </c>
      <c r="T53" s="181"/>
      <c r="U53" s="61"/>
      <c r="V53" s="109"/>
      <c r="W53" s="155"/>
      <c r="X53" s="199"/>
      <c r="Y53" s="199"/>
      <c r="Z53" s="199"/>
      <c r="AA53" s="199"/>
      <c r="AB53" s="199"/>
      <c r="AC53" s="199">
        <v>12993.5</v>
      </c>
      <c r="AD53" s="199"/>
      <c r="AE53" s="199"/>
      <c r="AF53" s="199"/>
      <c r="AG53" s="199"/>
      <c r="AH53" s="199"/>
      <c r="AI53" s="199"/>
      <c r="AJ53" s="199"/>
      <c r="AK53" s="198">
        <f t="shared" si="4"/>
        <v>12993.5</v>
      </c>
      <c r="AL53" s="198">
        <f t="shared" si="2"/>
        <v>0</v>
      </c>
    </row>
    <row r="54" spans="1:44" s="161" customFormat="1" ht="138" hidden="1" x14ac:dyDescent="0.3">
      <c r="A54" s="165">
        <v>53</v>
      </c>
      <c r="B54" s="61" t="s">
        <v>30</v>
      </c>
      <c r="C54" s="61" t="s">
        <v>30</v>
      </c>
      <c r="D54" s="109" t="s">
        <v>222</v>
      </c>
      <c r="E54" s="102" t="s">
        <v>874</v>
      </c>
      <c r="F54" s="102" t="s">
        <v>981</v>
      </c>
      <c r="G54" s="94">
        <v>244</v>
      </c>
      <c r="H54" s="85">
        <v>42061</v>
      </c>
      <c r="I54" s="85">
        <v>46446</v>
      </c>
      <c r="J54" s="85">
        <v>45292</v>
      </c>
      <c r="K54" s="85">
        <v>45382</v>
      </c>
      <c r="L54" s="94" t="s">
        <v>295</v>
      </c>
      <c r="M54" s="179" t="s">
        <v>380</v>
      </c>
      <c r="N54" s="61" t="s">
        <v>5</v>
      </c>
      <c r="O54" s="178">
        <v>45394</v>
      </c>
      <c r="P54" s="61" t="s">
        <v>2</v>
      </c>
      <c r="Q54" s="61" t="s">
        <v>168</v>
      </c>
      <c r="R54" s="61"/>
      <c r="S54" s="318">
        <v>16000</v>
      </c>
      <c r="T54" s="181"/>
      <c r="U54" s="61"/>
      <c r="V54" s="109"/>
      <c r="W54" s="155"/>
      <c r="X54" s="199"/>
      <c r="Y54" s="199"/>
      <c r="Z54" s="199"/>
      <c r="AA54" s="199"/>
      <c r="AB54" s="199"/>
      <c r="AC54" s="199">
        <v>12000</v>
      </c>
      <c r="AD54" s="199">
        <v>4000</v>
      </c>
      <c r="AE54" s="199"/>
      <c r="AF54" s="199"/>
      <c r="AG54" s="199"/>
      <c r="AH54" s="199"/>
      <c r="AI54" s="199"/>
      <c r="AJ54" s="199"/>
      <c r="AK54" s="198">
        <f t="shared" si="4"/>
        <v>16000</v>
      </c>
      <c r="AL54" s="198">
        <f t="shared" si="2"/>
        <v>0</v>
      </c>
      <c r="AM54" s="165"/>
      <c r="AN54" s="165"/>
      <c r="AO54" s="165"/>
      <c r="AP54" s="165"/>
      <c r="AQ54" s="165"/>
      <c r="AR54" s="165"/>
    </row>
    <row r="55" spans="1:44" s="165" customFormat="1" ht="372.6" hidden="1" x14ac:dyDescent="0.3">
      <c r="A55" s="165">
        <v>54</v>
      </c>
      <c r="B55" s="61" t="s">
        <v>30</v>
      </c>
      <c r="C55" s="61" t="s">
        <v>30</v>
      </c>
      <c r="D55" s="61" t="s">
        <v>79</v>
      </c>
      <c r="E55" s="102" t="s">
        <v>772</v>
      </c>
      <c r="F55" s="231" t="s">
        <v>375</v>
      </c>
      <c r="G55" s="94">
        <v>176</v>
      </c>
      <c r="H55" s="85">
        <v>45108</v>
      </c>
      <c r="I55" s="85">
        <v>46446</v>
      </c>
      <c r="J55" s="85">
        <v>45292</v>
      </c>
      <c r="K55" s="85">
        <v>45382</v>
      </c>
      <c r="L55" s="137" t="s">
        <v>295</v>
      </c>
      <c r="M55" s="177" t="s">
        <v>374</v>
      </c>
      <c r="N55" s="61" t="s">
        <v>5</v>
      </c>
      <c r="O55" s="178">
        <v>45406</v>
      </c>
      <c r="P55" s="61" t="s">
        <v>2</v>
      </c>
      <c r="Q55" s="61" t="s">
        <v>168</v>
      </c>
      <c r="R55" s="61"/>
      <c r="S55" s="318">
        <v>42000</v>
      </c>
      <c r="T55" s="181"/>
      <c r="U55" s="61" t="s">
        <v>38</v>
      </c>
      <c r="V55" s="61" t="s">
        <v>27</v>
      </c>
      <c r="W55" s="149"/>
      <c r="X55" s="202"/>
      <c r="Y55" s="202"/>
      <c r="Z55" s="202"/>
      <c r="AA55" s="199"/>
      <c r="AB55" s="199"/>
      <c r="AC55" s="199">
        <v>42000</v>
      </c>
      <c r="AD55" s="199"/>
      <c r="AE55" s="199"/>
      <c r="AF55" s="199"/>
      <c r="AG55" s="199"/>
      <c r="AH55" s="199"/>
      <c r="AI55" s="199"/>
      <c r="AJ55" s="199"/>
      <c r="AK55" s="198">
        <f t="shared" si="4"/>
        <v>42000</v>
      </c>
      <c r="AL55" s="198">
        <f t="shared" si="2"/>
        <v>0</v>
      </c>
      <c r="AM55" s="161"/>
      <c r="AN55" s="161"/>
      <c r="AO55" s="161"/>
      <c r="AP55" s="161"/>
      <c r="AQ55" s="161"/>
      <c r="AR55" s="161"/>
    </row>
    <row r="56" spans="1:44" s="161" customFormat="1" ht="96.6" hidden="1" x14ac:dyDescent="0.3">
      <c r="A56" s="165">
        <v>55</v>
      </c>
      <c r="B56" s="61" t="s">
        <v>121</v>
      </c>
      <c r="C56" s="61" t="s">
        <v>121</v>
      </c>
      <c r="D56" s="61" t="s">
        <v>122</v>
      </c>
      <c r="E56" s="61" t="s">
        <v>122</v>
      </c>
      <c r="F56" s="24" t="s">
        <v>472</v>
      </c>
      <c r="G56" s="59">
        <v>100</v>
      </c>
      <c r="H56" s="107">
        <v>44967</v>
      </c>
      <c r="I56" s="107">
        <v>46022</v>
      </c>
      <c r="J56" s="107">
        <v>45292</v>
      </c>
      <c r="K56" s="107">
        <v>45382</v>
      </c>
      <c r="L56" s="59" t="s">
        <v>295</v>
      </c>
      <c r="M56" s="61" t="s">
        <v>470</v>
      </c>
      <c r="N56" s="61" t="s">
        <v>1</v>
      </c>
      <c r="O56" s="178">
        <v>45407</v>
      </c>
      <c r="P56" s="61" t="s">
        <v>92</v>
      </c>
      <c r="Q56" s="61"/>
      <c r="R56" s="61"/>
      <c r="S56" s="181">
        <v>11399.9</v>
      </c>
      <c r="T56" s="181"/>
      <c r="U56" s="61" t="s">
        <v>24</v>
      </c>
      <c r="V56" s="61" t="s">
        <v>27</v>
      </c>
      <c r="W56" s="165"/>
      <c r="X56" s="199">
        <v>1317.63</v>
      </c>
      <c r="Y56" s="199"/>
      <c r="Z56" s="199"/>
      <c r="AA56" s="199"/>
      <c r="AB56" s="199"/>
      <c r="AC56" s="199">
        <v>9746.61</v>
      </c>
      <c r="AD56" s="199"/>
      <c r="AE56" s="199">
        <v>219.93</v>
      </c>
      <c r="AF56" s="199"/>
      <c r="AG56" s="199">
        <v>115.73</v>
      </c>
      <c r="AH56" s="199"/>
      <c r="AI56" s="199"/>
      <c r="AJ56" s="199"/>
      <c r="AK56" s="198">
        <f t="shared" si="4"/>
        <v>11399.900000000001</v>
      </c>
      <c r="AL56" s="198">
        <f t="shared" si="2"/>
        <v>0</v>
      </c>
      <c r="AM56" s="165"/>
      <c r="AN56" s="165"/>
      <c r="AO56" s="165"/>
      <c r="AP56" s="165"/>
      <c r="AQ56" s="165"/>
      <c r="AR56" s="165"/>
    </row>
    <row r="57" spans="1:44" s="161" customFormat="1" ht="27.6" hidden="1" x14ac:dyDescent="0.3">
      <c r="A57" s="165">
        <v>56</v>
      </c>
      <c r="B57" s="58" t="s">
        <v>123</v>
      </c>
      <c r="C57" s="58" t="s">
        <v>124</v>
      </c>
      <c r="D57" s="58" t="s">
        <v>125</v>
      </c>
      <c r="E57" s="61" t="s">
        <v>785</v>
      </c>
      <c r="F57" s="231" t="s">
        <v>495</v>
      </c>
      <c r="G57" s="59">
        <v>106</v>
      </c>
      <c r="H57" s="107">
        <v>43617</v>
      </c>
      <c r="I57" s="107">
        <v>47269</v>
      </c>
      <c r="J57" s="107">
        <v>45292</v>
      </c>
      <c r="K57" s="107">
        <v>45382</v>
      </c>
      <c r="L57" s="59" t="s">
        <v>295</v>
      </c>
      <c r="M57" s="179" t="s">
        <v>281</v>
      </c>
      <c r="N57" s="58" t="s">
        <v>1</v>
      </c>
      <c r="O57" s="176">
        <v>45418</v>
      </c>
      <c r="P57" s="58" t="s">
        <v>101</v>
      </c>
      <c r="Q57" s="58"/>
      <c r="R57" s="58"/>
      <c r="S57" s="181">
        <v>22299.88</v>
      </c>
      <c r="T57" s="212"/>
      <c r="U57" s="58" t="s">
        <v>29</v>
      </c>
      <c r="V57" s="58"/>
      <c r="X57" s="198">
        <v>1422.98</v>
      </c>
      <c r="Y57" s="198"/>
      <c r="Z57" s="198"/>
      <c r="AA57" s="198">
        <v>576.49</v>
      </c>
      <c r="AB57" s="198"/>
      <c r="AC57" s="198">
        <v>7511.43</v>
      </c>
      <c r="AD57" s="198">
        <v>3405.57</v>
      </c>
      <c r="AE57" s="198">
        <v>1321.28</v>
      </c>
      <c r="AF57" s="198"/>
      <c r="AG57" s="198">
        <v>5285.44</v>
      </c>
      <c r="AH57" s="198"/>
      <c r="AI57" s="198">
        <v>2776.69</v>
      </c>
      <c r="AJ57" s="198"/>
      <c r="AK57" s="198">
        <f t="shared" si="4"/>
        <v>22299.879999999997</v>
      </c>
      <c r="AL57" s="198">
        <f t="shared" si="2"/>
        <v>0</v>
      </c>
    </row>
    <row r="58" spans="1:44" s="161" customFormat="1" ht="138" hidden="1" x14ac:dyDescent="0.3">
      <c r="A58" s="165">
        <v>57</v>
      </c>
      <c r="B58" s="61" t="s">
        <v>30</v>
      </c>
      <c r="C58" s="61" t="s">
        <v>30</v>
      </c>
      <c r="D58" s="109" t="s">
        <v>223</v>
      </c>
      <c r="E58" s="102" t="s">
        <v>874</v>
      </c>
      <c r="F58" s="102" t="s">
        <v>981</v>
      </c>
      <c r="G58" s="94">
        <v>244</v>
      </c>
      <c r="H58" s="85">
        <v>42061</v>
      </c>
      <c r="I58" s="85">
        <v>46446</v>
      </c>
      <c r="J58" s="85">
        <v>45292</v>
      </c>
      <c r="K58" s="85">
        <v>45382</v>
      </c>
      <c r="L58" s="94" t="s">
        <v>295</v>
      </c>
      <c r="M58" s="184" t="s">
        <v>380</v>
      </c>
      <c r="N58" s="61" t="s">
        <v>93</v>
      </c>
      <c r="O58" s="178">
        <v>45420</v>
      </c>
      <c r="P58" s="61" t="s">
        <v>2</v>
      </c>
      <c r="Q58" s="61" t="s">
        <v>168</v>
      </c>
      <c r="R58" s="61"/>
      <c r="S58" s="318">
        <v>39000</v>
      </c>
      <c r="T58" s="212"/>
      <c r="U58" s="61"/>
      <c r="V58" s="109"/>
      <c r="W58" s="155"/>
      <c r="X58" s="199"/>
      <c r="Y58" s="199"/>
      <c r="Z58" s="199"/>
      <c r="AA58" s="199"/>
      <c r="AB58" s="199"/>
      <c r="AC58" s="199">
        <v>39000</v>
      </c>
      <c r="AD58" s="199"/>
      <c r="AE58" s="199"/>
      <c r="AF58" s="199"/>
      <c r="AG58" s="199"/>
      <c r="AH58" s="199"/>
      <c r="AI58" s="199"/>
      <c r="AJ58" s="199"/>
      <c r="AK58" s="198">
        <f t="shared" si="4"/>
        <v>39000</v>
      </c>
      <c r="AL58" s="198">
        <f t="shared" si="2"/>
        <v>0</v>
      </c>
      <c r="AM58" s="165"/>
      <c r="AN58" s="165"/>
      <c r="AO58" s="165"/>
      <c r="AP58" s="165"/>
      <c r="AQ58" s="165"/>
      <c r="AR58" s="165"/>
    </row>
    <row r="59" spans="1:44" s="161" customFormat="1" ht="41.4" hidden="1" x14ac:dyDescent="0.3">
      <c r="A59" s="165">
        <v>58</v>
      </c>
      <c r="B59" s="58" t="s">
        <v>17</v>
      </c>
      <c r="C59" s="58" t="s">
        <v>17</v>
      </c>
      <c r="D59" s="58" t="s">
        <v>28</v>
      </c>
      <c r="E59" s="58" t="s">
        <v>925</v>
      </c>
      <c r="F59" s="58" t="s">
        <v>973</v>
      </c>
      <c r="G59" s="59">
        <v>534</v>
      </c>
      <c r="H59" s="107">
        <v>42993</v>
      </c>
      <c r="I59" s="141">
        <v>45657</v>
      </c>
      <c r="J59" s="107">
        <v>45292</v>
      </c>
      <c r="K59" s="107">
        <v>45382</v>
      </c>
      <c r="L59" s="59" t="s">
        <v>295</v>
      </c>
      <c r="M59" s="179" t="s">
        <v>927</v>
      </c>
      <c r="N59" s="157" t="s">
        <v>1</v>
      </c>
      <c r="O59" s="176">
        <v>45422</v>
      </c>
      <c r="P59" s="58" t="s">
        <v>2</v>
      </c>
      <c r="Q59" s="58" t="s">
        <v>166</v>
      </c>
      <c r="R59" s="58"/>
      <c r="S59" s="318">
        <v>16100</v>
      </c>
      <c r="T59" s="212"/>
      <c r="U59" s="58" t="s">
        <v>29</v>
      </c>
      <c r="V59" s="58" t="s">
        <v>27</v>
      </c>
      <c r="W59" s="156"/>
      <c r="X59" s="200"/>
      <c r="Y59" s="200"/>
      <c r="Z59" s="200"/>
      <c r="AA59" s="198"/>
      <c r="AB59" s="198"/>
      <c r="AC59" s="198">
        <v>11200</v>
      </c>
      <c r="AD59" s="198">
        <v>3500</v>
      </c>
      <c r="AE59" s="198">
        <v>1400</v>
      </c>
      <c r="AF59" s="198"/>
      <c r="AG59" s="198"/>
      <c r="AH59" s="198"/>
      <c r="AI59" s="198"/>
      <c r="AJ59" s="198"/>
      <c r="AK59" s="198">
        <f t="shared" si="4"/>
        <v>16100</v>
      </c>
      <c r="AL59" s="198">
        <f t="shared" si="2"/>
        <v>0</v>
      </c>
    </row>
    <row r="60" spans="1:44" s="161" customFormat="1" ht="289.8" hidden="1" x14ac:dyDescent="0.3">
      <c r="A60" s="165">
        <v>59</v>
      </c>
      <c r="B60" s="58" t="s">
        <v>248</v>
      </c>
      <c r="C60" s="58" t="s">
        <v>114</v>
      </c>
      <c r="D60" s="58" t="s">
        <v>142</v>
      </c>
      <c r="E60" s="58" t="s">
        <v>914</v>
      </c>
      <c r="F60" s="231" t="s">
        <v>329</v>
      </c>
      <c r="G60" s="94">
        <v>32</v>
      </c>
      <c r="H60" s="85">
        <v>43067</v>
      </c>
      <c r="I60" s="85">
        <v>45989</v>
      </c>
      <c r="J60" s="85">
        <v>45292</v>
      </c>
      <c r="K60" s="85">
        <v>45382</v>
      </c>
      <c r="L60" s="85" t="s">
        <v>295</v>
      </c>
      <c r="M60" s="179" t="s">
        <v>327</v>
      </c>
      <c r="N60" s="58" t="s">
        <v>143</v>
      </c>
      <c r="O60" s="176">
        <v>45425</v>
      </c>
      <c r="P60" s="58" t="s">
        <v>92</v>
      </c>
      <c r="Q60" s="58"/>
      <c r="R60" s="58"/>
      <c r="S60" s="181">
        <v>152601.64000000001</v>
      </c>
      <c r="T60" s="212">
        <v>190101.64</v>
      </c>
      <c r="U60" s="58" t="s">
        <v>35</v>
      </c>
      <c r="V60" s="58" t="s">
        <v>27</v>
      </c>
      <c r="W60" s="161" t="s">
        <v>915</v>
      </c>
      <c r="X60" s="198">
        <v>13773.05</v>
      </c>
      <c r="Y60" s="198">
        <v>8036.79</v>
      </c>
      <c r="Z60" s="198"/>
      <c r="AA60" s="198">
        <v>4954.3500000000004</v>
      </c>
      <c r="AB60" s="198"/>
      <c r="AC60" s="198">
        <v>78699.429999999993</v>
      </c>
      <c r="AD60" s="198">
        <v>16756.45</v>
      </c>
      <c r="AE60" s="198">
        <v>5935.53</v>
      </c>
      <c r="AF60" s="198"/>
      <c r="AG60" s="198">
        <v>24446.05</v>
      </c>
      <c r="AH60" s="198"/>
      <c r="AI60" s="198"/>
      <c r="AJ60" s="198"/>
      <c r="AK60" s="198">
        <f t="shared" si="4"/>
        <v>152601.65</v>
      </c>
      <c r="AL60" s="198">
        <f t="shared" si="2"/>
        <v>9.9999999802093953E-3</v>
      </c>
    </row>
    <row r="61" spans="1:44" s="161" customFormat="1" ht="27.6" hidden="1" x14ac:dyDescent="0.3">
      <c r="A61" s="165">
        <v>60</v>
      </c>
      <c r="B61" s="58" t="s">
        <v>248</v>
      </c>
      <c r="C61" s="58" t="s">
        <v>114</v>
      </c>
      <c r="D61" s="58" t="s">
        <v>190</v>
      </c>
      <c r="E61" s="58" t="s">
        <v>914</v>
      </c>
      <c r="F61" s="232" t="s">
        <v>973</v>
      </c>
      <c r="G61" s="94" t="s">
        <v>973</v>
      </c>
      <c r="H61" s="85">
        <v>43067</v>
      </c>
      <c r="I61" s="85">
        <v>45989</v>
      </c>
      <c r="J61" s="85">
        <v>45292</v>
      </c>
      <c r="K61" s="85">
        <v>45382</v>
      </c>
      <c r="L61" s="137" t="s">
        <v>295</v>
      </c>
      <c r="M61" s="174"/>
      <c r="N61" s="58" t="s">
        <v>143</v>
      </c>
      <c r="O61" s="176">
        <v>45425</v>
      </c>
      <c r="P61" s="58" t="s">
        <v>92</v>
      </c>
      <c r="Q61" s="58"/>
      <c r="R61" s="58"/>
      <c r="S61" s="181">
        <v>37500</v>
      </c>
      <c r="T61" s="212">
        <v>190101.64</v>
      </c>
      <c r="U61" s="58" t="s">
        <v>35</v>
      </c>
      <c r="V61" s="58" t="s">
        <v>27</v>
      </c>
      <c r="X61" s="198"/>
      <c r="Y61" s="198"/>
      <c r="Z61" s="198"/>
      <c r="AA61" s="198"/>
      <c r="AB61" s="198"/>
      <c r="AC61" s="198">
        <v>37500</v>
      </c>
      <c r="AD61" s="198"/>
      <c r="AE61" s="198"/>
      <c r="AF61" s="198"/>
      <c r="AG61" s="198"/>
      <c r="AH61" s="198"/>
      <c r="AI61" s="198"/>
      <c r="AJ61" s="198"/>
      <c r="AK61" s="198">
        <f t="shared" si="4"/>
        <v>37500</v>
      </c>
      <c r="AL61" s="198">
        <f t="shared" si="2"/>
        <v>0</v>
      </c>
    </row>
    <row r="62" spans="1:44" s="161" customFormat="1" ht="41.4" hidden="1" x14ac:dyDescent="0.3">
      <c r="A62" s="165">
        <v>61</v>
      </c>
      <c r="B62" s="109" t="s">
        <v>10</v>
      </c>
      <c r="C62" s="109" t="s">
        <v>10</v>
      </c>
      <c r="D62" s="134" t="s">
        <v>911</v>
      </c>
      <c r="E62" s="131" t="s">
        <v>910</v>
      </c>
      <c r="F62" s="131" t="s">
        <v>973</v>
      </c>
      <c r="G62" s="94">
        <v>530</v>
      </c>
      <c r="H62" s="85">
        <v>44257</v>
      </c>
      <c r="I62" s="85">
        <v>46112</v>
      </c>
      <c r="J62" s="85">
        <v>44927</v>
      </c>
      <c r="K62" s="85">
        <v>45291</v>
      </c>
      <c r="L62" s="140" t="s">
        <v>289</v>
      </c>
      <c r="M62" s="185" t="s">
        <v>909</v>
      </c>
      <c r="N62" s="109" t="s">
        <v>1</v>
      </c>
      <c r="O62" s="175">
        <v>45428</v>
      </c>
      <c r="P62" s="109" t="s">
        <v>2</v>
      </c>
      <c r="Q62" s="109" t="s">
        <v>168</v>
      </c>
      <c r="R62" s="109"/>
      <c r="S62" s="213">
        <v>10500</v>
      </c>
      <c r="T62" s="213">
        <v>399750</v>
      </c>
      <c r="U62" s="109" t="s">
        <v>29</v>
      </c>
      <c r="V62" s="109"/>
      <c r="W62" s="165"/>
      <c r="X62" s="199"/>
      <c r="Y62" s="199"/>
      <c r="Z62" s="202"/>
      <c r="AA62" s="198"/>
      <c r="AB62" s="198"/>
      <c r="AC62" s="198"/>
      <c r="AD62" s="198">
        <v>10500</v>
      </c>
      <c r="AE62" s="198"/>
      <c r="AF62" s="198"/>
      <c r="AG62" s="198"/>
      <c r="AH62" s="198"/>
      <c r="AI62" s="198"/>
      <c r="AJ62" s="198"/>
      <c r="AK62" s="198">
        <f t="shared" si="4"/>
        <v>10500</v>
      </c>
      <c r="AL62" s="198">
        <f t="shared" si="2"/>
        <v>0</v>
      </c>
    </row>
    <row r="63" spans="1:44" s="165" customFormat="1" ht="41.4" hidden="1" x14ac:dyDescent="0.3">
      <c r="A63" s="165">
        <v>62</v>
      </c>
      <c r="B63" s="109" t="s">
        <v>10</v>
      </c>
      <c r="C63" s="109" t="s">
        <v>10</v>
      </c>
      <c r="D63" s="109" t="s">
        <v>81</v>
      </c>
      <c r="E63" s="58" t="s">
        <v>910</v>
      </c>
      <c r="F63" s="58" t="s">
        <v>973</v>
      </c>
      <c r="G63" s="94">
        <v>530</v>
      </c>
      <c r="H63" s="85">
        <v>44257</v>
      </c>
      <c r="I63" s="85">
        <v>46112</v>
      </c>
      <c r="J63" s="85">
        <v>45383</v>
      </c>
      <c r="K63" s="85">
        <v>45473</v>
      </c>
      <c r="L63" s="140" t="s">
        <v>295</v>
      </c>
      <c r="M63" s="186" t="s">
        <v>909</v>
      </c>
      <c r="N63" s="109" t="s">
        <v>1</v>
      </c>
      <c r="O63" s="175">
        <v>45428</v>
      </c>
      <c r="P63" s="109" t="s">
        <v>2</v>
      </c>
      <c r="Q63" s="109" t="s">
        <v>168</v>
      </c>
      <c r="R63" s="109"/>
      <c r="S63" s="213">
        <v>5250</v>
      </c>
      <c r="T63" s="213">
        <v>399750</v>
      </c>
      <c r="U63" s="109" t="s">
        <v>29</v>
      </c>
      <c r="V63" s="109"/>
      <c r="X63" s="199"/>
      <c r="Y63" s="199"/>
      <c r="Z63" s="199"/>
      <c r="AA63" s="198"/>
      <c r="AB63" s="198"/>
      <c r="AC63" s="198"/>
      <c r="AD63" s="198">
        <v>5250</v>
      </c>
      <c r="AE63" s="198"/>
      <c r="AF63" s="198"/>
      <c r="AG63" s="198"/>
      <c r="AH63" s="198"/>
      <c r="AI63" s="198"/>
      <c r="AJ63" s="198"/>
      <c r="AK63" s="198">
        <f t="shared" si="4"/>
        <v>5250</v>
      </c>
      <c r="AL63" s="198">
        <f t="shared" si="2"/>
        <v>0</v>
      </c>
      <c r="AM63" s="161"/>
      <c r="AN63" s="161"/>
      <c r="AO63" s="161"/>
      <c r="AP63" s="161"/>
      <c r="AQ63" s="161"/>
      <c r="AR63" s="161"/>
    </row>
    <row r="64" spans="1:44" s="161" customFormat="1" ht="138" hidden="1" x14ac:dyDescent="0.3">
      <c r="A64" s="165">
        <v>63</v>
      </c>
      <c r="B64" s="58" t="s">
        <v>10</v>
      </c>
      <c r="C64" s="58" t="s">
        <v>10</v>
      </c>
      <c r="D64" s="58" t="s">
        <v>907</v>
      </c>
      <c r="E64" s="102" t="s">
        <v>875</v>
      </c>
      <c r="F64" s="102" t="s">
        <v>982</v>
      </c>
      <c r="G64" s="94">
        <v>101</v>
      </c>
      <c r="H64" s="85">
        <v>42881</v>
      </c>
      <c r="I64" s="85">
        <v>46112</v>
      </c>
      <c r="J64" s="85">
        <v>45292</v>
      </c>
      <c r="K64" s="85">
        <v>45382</v>
      </c>
      <c r="L64" s="94" t="s">
        <v>295</v>
      </c>
      <c r="M64" s="179" t="s">
        <v>475</v>
      </c>
      <c r="N64" s="58" t="s">
        <v>1</v>
      </c>
      <c r="O64" s="176">
        <v>45428</v>
      </c>
      <c r="P64" s="58" t="s">
        <v>2</v>
      </c>
      <c r="Q64" s="58" t="s">
        <v>168</v>
      </c>
      <c r="R64" s="58"/>
      <c r="S64" s="181">
        <f>399750-5250-10500</f>
        <v>384000</v>
      </c>
      <c r="T64" s="213">
        <v>399750</v>
      </c>
      <c r="U64" s="58" t="s">
        <v>38</v>
      </c>
      <c r="V64" s="58" t="s">
        <v>27</v>
      </c>
      <c r="W64" s="156"/>
      <c r="X64" s="200"/>
      <c r="Y64" s="200"/>
      <c r="Z64" s="200"/>
      <c r="AA64" s="198"/>
      <c r="AB64" s="198"/>
      <c r="AC64" s="198">
        <v>384000</v>
      </c>
      <c r="AD64" s="198"/>
      <c r="AE64" s="198"/>
      <c r="AF64" s="198"/>
      <c r="AG64" s="198"/>
      <c r="AH64" s="198"/>
      <c r="AI64" s="198"/>
      <c r="AJ64" s="198"/>
      <c r="AK64" s="198">
        <f t="shared" si="4"/>
        <v>384000</v>
      </c>
      <c r="AL64" s="198">
        <f t="shared" si="2"/>
        <v>0</v>
      </c>
    </row>
    <row r="65" spans="1:44" s="161" customFormat="1" ht="165.6" hidden="1" x14ac:dyDescent="0.3">
      <c r="A65" s="165">
        <v>64</v>
      </c>
      <c r="B65" s="61" t="s">
        <v>107</v>
      </c>
      <c r="C65" s="58" t="s">
        <v>107</v>
      </c>
      <c r="D65" s="58" t="s">
        <v>126</v>
      </c>
      <c r="E65" s="58" t="s">
        <v>787</v>
      </c>
      <c r="F65" s="231" t="s">
        <v>505</v>
      </c>
      <c r="G65" s="94">
        <v>113</v>
      </c>
      <c r="H65" s="85">
        <v>44699</v>
      </c>
      <c r="I65" s="85">
        <v>46524</v>
      </c>
      <c r="J65" s="85">
        <v>45200</v>
      </c>
      <c r="K65" s="85">
        <v>45382</v>
      </c>
      <c r="L65" s="94" t="s">
        <v>872</v>
      </c>
      <c r="M65" s="179" t="s">
        <v>502</v>
      </c>
      <c r="N65" s="58" t="s">
        <v>1</v>
      </c>
      <c r="O65" s="176">
        <v>45432</v>
      </c>
      <c r="P65" s="58" t="s">
        <v>101</v>
      </c>
      <c r="Q65" s="58"/>
      <c r="R65" s="58"/>
      <c r="S65" s="181">
        <v>67500</v>
      </c>
      <c r="T65" s="181"/>
      <c r="U65" s="58" t="s">
        <v>29</v>
      </c>
      <c r="V65" s="58" t="s">
        <v>27</v>
      </c>
      <c r="W65" s="161" t="s">
        <v>900</v>
      </c>
      <c r="X65" s="198"/>
      <c r="Y65" s="198"/>
      <c r="Z65" s="198"/>
      <c r="AA65" s="198"/>
      <c r="AB65" s="198"/>
      <c r="AC65" s="198">
        <v>67500</v>
      </c>
      <c r="AD65" s="198"/>
      <c r="AE65" s="198"/>
      <c r="AF65" s="198"/>
      <c r="AG65" s="198"/>
      <c r="AH65" s="198"/>
      <c r="AI65" s="198"/>
      <c r="AJ65" s="198"/>
      <c r="AK65" s="198">
        <f t="shared" si="4"/>
        <v>67500</v>
      </c>
      <c r="AL65" s="198">
        <f t="shared" si="2"/>
        <v>0</v>
      </c>
    </row>
    <row r="66" spans="1:44" s="165" customFormat="1" ht="409.6" hidden="1" x14ac:dyDescent="0.3">
      <c r="A66" s="165">
        <v>65</v>
      </c>
      <c r="B66" s="61" t="s">
        <v>30</v>
      </c>
      <c r="C66" s="61" t="s">
        <v>30</v>
      </c>
      <c r="D66" s="109" t="s">
        <v>158</v>
      </c>
      <c r="E66" s="109" t="s">
        <v>902</v>
      </c>
      <c r="F66" s="231" t="s">
        <v>378</v>
      </c>
      <c r="G66" s="94">
        <v>50</v>
      </c>
      <c r="H66" s="85">
        <v>45292</v>
      </c>
      <c r="I66" s="85">
        <v>47118</v>
      </c>
      <c r="J66" s="85">
        <v>45292</v>
      </c>
      <c r="K66" s="85">
        <v>45382</v>
      </c>
      <c r="L66" s="94" t="s">
        <v>295</v>
      </c>
      <c r="M66" s="179" t="s">
        <v>377</v>
      </c>
      <c r="N66" s="61" t="s">
        <v>5</v>
      </c>
      <c r="O66" s="178">
        <v>45433</v>
      </c>
      <c r="P66" s="61" t="s">
        <v>2</v>
      </c>
      <c r="Q66" s="61" t="s">
        <v>166</v>
      </c>
      <c r="R66" s="61"/>
      <c r="S66" s="318">
        <v>12400</v>
      </c>
      <c r="T66" s="181"/>
      <c r="U66" s="61" t="s">
        <v>29</v>
      </c>
      <c r="V66" s="109"/>
      <c r="W66" s="155"/>
      <c r="X66" s="199"/>
      <c r="Y66" s="199"/>
      <c r="Z66" s="199"/>
      <c r="AA66" s="199"/>
      <c r="AB66" s="199">
        <v>100</v>
      </c>
      <c r="AC66" s="199">
        <v>11000</v>
      </c>
      <c r="AD66" s="199">
        <v>800</v>
      </c>
      <c r="AE66" s="199"/>
      <c r="AF66" s="199"/>
      <c r="AG66" s="199"/>
      <c r="AH66" s="199"/>
      <c r="AI66" s="199">
        <v>500</v>
      </c>
      <c r="AJ66" s="199"/>
      <c r="AK66" s="198">
        <f t="shared" si="4"/>
        <v>12400</v>
      </c>
      <c r="AL66" s="198">
        <f t="shared" ref="AL66:AL97" si="5">AK66-S66</f>
        <v>0</v>
      </c>
    </row>
    <row r="67" spans="1:44" s="161" customFormat="1" ht="27.6" x14ac:dyDescent="0.3">
      <c r="A67" s="165">
        <v>66</v>
      </c>
      <c r="B67" s="61" t="s">
        <v>108</v>
      </c>
      <c r="C67" s="61" t="s">
        <v>127</v>
      </c>
      <c r="D67" s="58" t="s">
        <v>128</v>
      </c>
      <c r="E67" s="58" t="s">
        <v>128</v>
      </c>
      <c r="F67" s="58"/>
      <c r="G67" s="59">
        <v>71</v>
      </c>
      <c r="H67" s="107">
        <v>43556</v>
      </c>
      <c r="I67" s="141">
        <v>45688</v>
      </c>
      <c r="J67" s="107">
        <v>44958</v>
      </c>
      <c r="K67" s="107">
        <v>45322</v>
      </c>
      <c r="L67" s="59" t="s">
        <v>289</v>
      </c>
      <c r="M67" s="58" t="s">
        <v>411</v>
      </c>
      <c r="N67" s="58" t="s">
        <v>1</v>
      </c>
      <c r="O67" s="176">
        <v>45434</v>
      </c>
      <c r="P67" s="58" t="s">
        <v>101</v>
      </c>
      <c r="Q67" s="58"/>
      <c r="R67" s="58"/>
      <c r="S67" s="181">
        <v>4956</v>
      </c>
      <c r="T67" s="181"/>
      <c r="U67" s="58" t="s">
        <v>29</v>
      </c>
      <c r="V67" s="58" t="s">
        <v>27</v>
      </c>
      <c r="X67" s="198"/>
      <c r="Y67" s="198"/>
      <c r="Z67" s="198"/>
      <c r="AA67" s="198"/>
      <c r="AB67" s="198"/>
      <c r="AC67" s="198">
        <v>4956</v>
      </c>
      <c r="AD67" s="198"/>
      <c r="AE67" s="198"/>
      <c r="AF67" s="198"/>
      <c r="AG67" s="198"/>
      <c r="AH67" s="198"/>
      <c r="AI67" s="198"/>
      <c r="AJ67" s="198"/>
      <c r="AK67" s="198">
        <f t="shared" si="4"/>
        <v>4956</v>
      </c>
      <c r="AL67" s="198">
        <f t="shared" si="5"/>
        <v>0</v>
      </c>
    </row>
    <row r="68" spans="1:44" s="161" customFormat="1" ht="27.6" x14ac:dyDescent="0.3">
      <c r="A68" s="165">
        <v>67</v>
      </c>
      <c r="B68" s="61" t="s">
        <v>108</v>
      </c>
      <c r="C68" s="61" t="s">
        <v>127</v>
      </c>
      <c r="D68" s="58" t="s">
        <v>129</v>
      </c>
      <c r="E68" s="58" t="s">
        <v>129</v>
      </c>
      <c r="F68" s="58"/>
      <c r="G68" s="59">
        <v>71</v>
      </c>
      <c r="H68" s="107">
        <v>43556</v>
      </c>
      <c r="I68" s="141">
        <v>45688</v>
      </c>
      <c r="J68" s="107">
        <v>44927</v>
      </c>
      <c r="K68" s="107">
        <v>45291</v>
      </c>
      <c r="L68" s="59" t="s">
        <v>289</v>
      </c>
      <c r="M68" s="58" t="s">
        <v>411</v>
      </c>
      <c r="N68" s="58" t="s">
        <v>1</v>
      </c>
      <c r="O68" s="176">
        <v>45434</v>
      </c>
      <c r="P68" s="58" t="s">
        <v>101</v>
      </c>
      <c r="Q68" s="58"/>
      <c r="R68" s="58"/>
      <c r="S68" s="181">
        <v>2948</v>
      </c>
      <c r="T68" s="212"/>
      <c r="U68" s="58" t="s">
        <v>29</v>
      </c>
      <c r="V68" s="58" t="s">
        <v>27</v>
      </c>
      <c r="X68" s="198"/>
      <c r="Y68" s="198"/>
      <c r="Z68" s="198"/>
      <c r="AA68" s="198"/>
      <c r="AB68" s="198"/>
      <c r="AC68" s="198">
        <v>2948</v>
      </c>
      <c r="AD68" s="198"/>
      <c r="AE68" s="198"/>
      <c r="AF68" s="198"/>
      <c r="AG68" s="198"/>
      <c r="AH68" s="198"/>
      <c r="AI68" s="198"/>
      <c r="AJ68" s="198"/>
      <c r="AK68" s="198">
        <f t="shared" si="4"/>
        <v>2948</v>
      </c>
      <c r="AL68" s="198">
        <f t="shared" si="5"/>
        <v>0</v>
      </c>
    </row>
    <row r="69" spans="1:44" s="161" customFormat="1" ht="13.8" hidden="1" x14ac:dyDescent="0.3">
      <c r="A69" s="165">
        <v>68</v>
      </c>
      <c r="B69" s="61" t="s">
        <v>174</v>
      </c>
      <c r="C69" s="109" t="s">
        <v>80</v>
      </c>
      <c r="D69" s="61" t="s">
        <v>175</v>
      </c>
      <c r="E69" s="61" t="s">
        <v>177</v>
      </c>
      <c r="F69" s="61" t="s">
        <v>973</v>
      </c>
      <c r="G69" s="59" t="s">
        <v>879</v>
      </c>
      <c r="H69" s="59"/>
      <c r="I69" s="59"/>
      <c r="J69" s="107">
        <v>45292</v>
      </c>
      <c r="K69" s="107">
        <v>45382</v>
      </c>
      <c r="L69" s="144" t="s">
        <v>295</v>
      </c>
      <c r="M69" s="146"/>
      <c r="N69" s="61" t="s">
        <v>1</v>
      </c>
      <c r="O69" s="178">
        <v>45434</v>
      </c>
      <c r="P69" s="61" t="s">
        <v>92</v>
      </c>
      <c r="Q69" s="167"/>
      <c r="R69" s="167"/>
      <c r="S69" s="181">
        <v>497338</v>
      </c>
      <c r="T69" s="212"/>
      <c r="U69" s="61" t="s">
        <v>38</v>
      </c>
      <c r="V69" s="167"/>
      <c r="W69" s="155"/>
      <c r="X69" s="199">
        <v>60137.22</v>
      </c>
      <c r="Y69" s="199">
        <v>18977.61</v>
      </c>
      <c r="Z69" s="199"/>
      <c r="AA69" s="199">
        <v>21358.49</v>
      </c>
      <c r="AB69" s="199"/>
      <c r="AC69" s="199">
        <v>173999.51</v>
      </c>
      <c r="AD69" s="199">
        <v>44679.44</v>
      </c>
      <c r="AE69" s="199">
        <v>52855.88</v>
      </c>
      <c r="AF69" s="199"/>
      <c r="AG69" s="199">
        <v>55437.919999999998</v>
      </c>
      <c r="AH69" s="199">
        <v>17519.12</v>
      </c>
      <c r="AI69" s="199">
        <v>52372.81</v>
      </c>
      <c r="AJ69" s="199"/>
      <c r="AK69" s="198">
        <f t="shared" si="4"/>
        <v>497338</v>
      </c>
      <c r="AL69" s="198">
        <f t="shared" si="5"/>
        <v>0</v>
      </c>
      <c r="AM69" s="165"/>
      <c r="AN69" s="165"/>
      <c r="AO69" s="165"/>
      <c r="AP69" s="165"/>
      <c r="AQ69" s="165"/>
      <c r="AR69" s="165"/>
    </row>
    <row r="70" spans="1:44" s="161" customFormat="1" ht="179.4" hidden="1" x14ac:dyDescent="0.3">
      <c r="A70" s="165">
        <v>69</v>
      </c>
      <c r="B70" s="61" t="s">
        <v>117</v>
      </c>
      <c r="C70" s="58" t="s">
        <v>339</v>
      </c>
      <c r="D70" s="58" t="s">
        <v>589</v>
      </c>
      <c r="E70" s="58" t="s">
        <v>782</v>
      </c>
      <c r="F70" s="24" t="s">
        <v>342</v>
      </c>
      <c r="G70" s="59">
        <v>37</v>
      </c>
      <c r="H70" s="107">
        <v>43635</v>
      </c>
      <c r="I70" s="59" t="s">
        <v>921</v>
      </c>
      <c r="J70" s="107">
        <v>45292</v>
      </c>
      <c r="K70" s="107">
        <v>45382</v>
      </c>
      <c r="L70" s="144" t="s">
        <v>295</v>
      </c>
      <c r="M70" s="174" t="s">
        <v>708</v>
      </c>
      <c r="N70" s="58" t="s">
        <v>1</v>
      </c>
      <c r="O70" s="176">
        <v>45443</v>
      </c>
      <c r="P70" s="58" t="s">
        <v>2</v>
      </c>
      <c r="Q70" s="58"/>
      <c r="R70" s="58"/>
      <c r="S70" s="181">
        <v>29310.76</v>
      </c>
      <c r="T70" s="212"/>
      <c r="U70" s="58" t="s">
        <v>130</v>
      </c>
      <c r="V70" s="58"/>
      <c r="X70" s="198"/>
      <c r="Y70" s="198"/>
      <c r="Z70" s="198"/>
      <c r="AA70" s="198"/>
      <c r="AB70" s="198"/>
      <c r="AC70" s="198">
        <v>15982.14</v>
      </c>
      <c r="AD70" s="198"/>
      <c r="AE70" s="198">
        <v>3229.83</v>
      </c>
      <c r="AF70" s="198"/>
      <c r="AG70" s="198">
        <v>10080.93</v>
      </c>
      <c r="AH70" s="198"/>
      <c r="AI70" s="198">
        <v>17.86</v>
      </c>
      <c r="AJ70" s="198"/>
      <c r="AK70" s="198">
        <f t="shared" si="4"/>
        <v>29310.760000000002</v>
      </c>
      <c r="AL70" s="198">
        <f t="shared" si="5"/>
        <v>0</v>
      </c>
    </row>
    <row r="71" spans="1:44" s="161" customFormat="1" ht="27.6" hidden="1" x14ac:dyDescent="0.3">
      <c r="A71" s="165">
        <v>70</v>
      </c>
      <c r="B71" s="61" t="s">
        <v>107</v>
      </c>
      <c r="C71" s="58" t="s">
        <v>107</v>
      </c>
      <c r="D71" s="61" t="s">
        <v>203</v>
      </c>
      <c r="E71" s="61" t="s">
        <v>787</v>
      </c>
      <c r="F71" s="61" t="s">
        <v>999</v>
      </c>
      <c r="G71" s="59">
        <v>194</v>
      </c>
      <c r="H71" s="85">
        <v>44699</v>
      </c>
      <c r="I71" s="85">
        <v>46524</v>
      </c>
      <c r="J71" s="107">
        <v>45292</v>
      </c>
      <c r="K71" s="107">
        <v>45382</v>
      </c>
      <c r="L71" s="144" t="s">
        <v>295</v>
      </c>
      <c r="M71" s="177" t="s">
        <v>502</v>
      </c>
      <c r="N71" s="58" t="s">
        <v>1</v>
      </c>
      <c r="O71" s="176">
        <v>45453</v>
      </c>
      <c r="P71" s="58" t="s">
        <v>101</v>
      </c>
      <c r="Q71" s="58"/>
      <c r="R71" s="58"/>
      <c r="S71" s="181">
        <f>[2]Sheet1!B2</f>
        <v>150282.40774799985</v>
      </c>
      <c r="T71" s="212">
        <v>837043.02</v>
      </c>
      <c r="U71" s="58" t="s">
        <v>31</v>
      </c>
      <c r="V71" s="58"/>
      <c r="X71" s="198">
        <f>4057.14+0.57+0.18</f>
        <v>4057.89</v>
      </c>
      <c r="Y71" s="198">
        <v>1765.39</v>
      </c>
      <c r="Z71" s="198"/>
      <c r="AA71" s="198">
        <v>5161.33</v>
      </c>
      <c r="AB71" s="198">
        <f>14.05+2.29+41.77</f>
        <v>58.11</v>
      </c>
      <c r="AC71" s="198">
        <f>79519.83+69.94+25.21+0.03+1.57+47.23</f>
        <v>79663.810000000012</v>
      </c>
      <c r="AD71" s="198">
        <f>15826.97+321.62</f>
        <v>16148.59</v>
      </c>
      <c r="AE71" s="198">
        <v>7125.93</v>
      </c>
      <c r="AF71" s="198">
        <v>2463.62</v>
      </c>
      <c r="AG71" s="198">
        <f>20091.64+0.14</f>
        <v>20091.78</v>
      </c>
      <c r="AH71" s="198">
        <v>1581.87</v>
      </c>
      <c r="AI71" s="198">
        <f>12157.37+6.72</f>
        <v>12164.09</v>
      </c>
      <c r="AJ71" s="198"/>
      <c r="AK71" s="198">
        <f t="shared" si="4"/>
        <v>150282.41</v>
      </c>
      <c r="AL71" s="198">
        <f t="shared" si="5"/>
        <v>2.2520001512020826E-3</v>
      </c>
    </row>
    <row r="72" spans="1:44" s="161" customFormat="1" ht="303.60000000000002" hidden="1" x14ac:dyDescent="0.3">
      <c r="A72" s="165">
        <v>71</v>
      </c>
      <c r="B72" s="61" t="s">
        <v>107</v>
      </c>
      <c r="C72" s="58" t="s">
        <v>107</v>
      </c>
      <c r="D72" s="58" t="s">
        <v>204</v>
      </c>
      <c r="E72" s="61" t="s">
        <v>787</v>
      </c>
      <c r="F72" s="231" t="s">
        <v>503</v>
      </c>
      <c r="G72" s="94">
        <v>248</v>
      </c>
      <c r="H72" s="85">
        <v>44699</v>
      </c>
      <c r="I72" s="85">
        <v>46524</v>
      </c>
      <c r="J72" s="107">
        <v>45292</v>
      </c>
      <c r="K72" s="107">
        <v>45382</v>
      </c>
      <c r="L72" s="140" t="s">
        <v>295</v>
      </c>
      <c r="M72" s="177" t="s">
        <v>502</v>
      </c>
      <c r="N72" s="58" t="s">
        <v>1</v>
      </c>
      <c r="O72" s="176">
        <v>45453</v>
      </c>
      <c r="P72" s="58" t="s">
        <v>101</v>
      </c>
      <c r="Q72" s="58"/>
      <c r="R72" s="58"/>
      <c r="S72" s="181">
        <f>[2]Sheet1!B3</f>
        <v>414683.0489999993</v>
      </c>
      <c r="T72" s="212">
        <v>837043.02</v>
      </c>
      <c r="U72" s="58" t="s">
        <v>31</v>
      </c>
      <c r="V72" s="58"/>
      <c r="X72" s="198">
        <v>17630.98</v>
      </c>
      <c r="Y72" s="198">
        <v>11598.3</v>
      </c>
      <c r="Z72" s="198"/>
      <c r="AA72" s="198">
        <v>17713.849999999999</v>
      </c>
      <c r="AB72" s="198">
        <f>140.9+4.38</f>
        <v>145.28</v>
      </c>
      <c r="AC72" s="198">
        <f>194229.05+0.49+143.33</f>
        <v>194372.86999999997</v>
      </c>
      <c r="AD72" s="198">
        <f>39764.14+1392.71</f>
        <v>41156.85</v>
      </c>
      <c r="AE72" s="198">
        <v>26729.22</v>
      </c>
      <c r="AF72" s="198">
        <v>7598.64</v>
      </c>
      <c r="AG72" s="198">
        <v>54548.07</v>
      </c>
      <c r="AH72" s="198">
        <v>6310.63</v>
      </c>
      <c r="AI72" s="198">
        <v>36878.36</v>
      </c>
      <c r="AJ72" s="198"/>
      <c r="AK72" s="198">
        <f t="shared" si="4"/>
        <v>414683.05</v>
      </c>
      <c r="AL72" s="198">
        <f t="shared" si="5"/>
        <v>1.0000006877817214E-3</v>
      </c>
    </row>
    <row r="73" spans="1:44" s="161" customFormat="1" ht="303.60000000000002" hidden="1" x14ac:dyDescent="0.3">
      <c r="A73" s="165">
        <v>72</v>
      </c>
      <c r="B73" s="61" t="s">
        <v>107</v>
      </c>
      <c r="C73" s="58" t="s">
        <v>107</v>
      </c>
      <c r="D73" s="58" t="s">
        <v>205</v>
      </c>
      <c r="E73" s="61" t="s">
        <v>787</v>
      </c>
      <c r="F73" s="231" t="s">
        <v>503</v>
      </c>
      <c r="G73" s="94">
        <v>109</v>
      </c>
      <c r="H73" s="85">
        <v>44699</v>
      </c>
      <c r="I73" s="85">
        <v>46524</v>
      </c>
      <c r="J73" s="107">
        <v>45292</v>
      </c>
      <c r="K73" s="107">
        <v>45382</v>
      </c>
      <c r="L73" s="140" t="s">
        <v>295</v>
      </c>
      <c r="M73" s="177" t="s">
        <v>502</v>
      </c>
      <c r="N73" s="58" t="s">
        <v>1</v>
      </c>
      <c r="O73" s="176">
        <v>45453</v>
      </c>
      <c r="P73" s="58" t="s">
        <v>101</v>
      </c>
      <c r="Q73" s="58"/>
      <c r="R73" s="58"/>
      <c r="S73" s="181">
        <f>[2]Sheet1!B4</f>
        <v>77042.361799999999</v>
      </c>
      <c r="T73" s="212">
        <v>837043.02</v>
      </c>
      <c r="U73" s="58" t="s">
        <v>31</v>
      </c>
      <c r="V73" s="58"/>
      <c r="X73" s="198">
        <v>628.11</v>
      </c>
      <c r="Y73" s="198">
        <v>827.07</v>
      </c>
      <c r="Z73" s="198"/>
      <c r="AA73" s="198">
        <v>1060.5999999999999</v>
      </c>
      <c r="AB73" s="198"/>
      <c r="AC73" s="198">
        <v>45621.84</v>
      </c>
      <c r="AD73" s="198">
        <v>5103.71</v>
      </c>
      <c r="AE73" s="198">
        <v>3383.65</v>
      </c>
      <c r="AF73" s="198">
        <v>2026.8</v>
      </c>
      <c r="AG73" s="198">
        <v>8393.2999999999993</v>
      </c>
      <c r="AH73" s="198">
        <v>1871</v>
      </c>
      <c r="AI73" s="198">
        <v>8126.28</v>
      </c>
      <c r="AJ73" s="198"/>
      <c r="AK73" s="198">
        <f t="shared" si="4"/>
        <v>77042.36</v>
      </c>
      <c r="AL73" s="198">
        <f t="shared" si="5"/>
        <v>-1.799999998183921E-3</v>
      </c>
    </row>
    <row r="74" spans="1:44" s="161" customFormat="1" ht="303.60000000000002" hidden="1" x14ac:dyDescent="0.3">
      <c r="A74" s="165">
        <v>73</v>
      </c>
      <c r="B74" s="61" t="s">
        <v>107</v>
      </c>
      <c r="C74" s="58" t="s">
        <v>107</v>
      </c>
      <c r="D74" s="61" t="s">
        <v>206</v>
      </c>
      <c r="E74" s="61" t="s">
        <v>787</v>
      </c>
      <c r="F74" s="231" t="s">
        <v>503</v>
      </c>
      <c r="G74" s="59">
        <v>193</v>
      </c>
      <c r="H74" s="85">
        <v>44699</v>
      </c>
      <c r="I74" s="85">
        <v>46524</v>
      </c>
      <c r="J74" s="107">
        <v>45292</v>
      </c>
      <c r="K74" s="107">
        <v>45382</v>
      </c>
      <c r="L74" s="140" t="s">
        <v>295</v>
      </c>
      <c r="M74" s="177" t="s">
        <v>502</v>
      </c>
      <c r="N74" s="58" t="s">
        <v>1</v>
      </c>
      <c r="O74" s="176">
        <v>45453</v>
      </c>
      <c r="P74" s="58" t="s">
        <v>101</v>
      </c>
      <c r="Q74" s="58"/>
      <c r="R74" s="58"/>
      <c r="S74" s="181">
        <f>[2]Sheet1!B5</f>
        <v>46132.586999999206</v>
      </c>
      <c r="T74" s="212">
        <v>837043.02</v>
      </c>
      <c r="U74" s="58" t="s">
        <v>31</v>
      </c>
      <c r="V74" s="58"/>
      <c r="X74" s="198">
        <f>-7.5-15420.37</f>
        <v>-15427.87</v>
      </c>
      <c r="Y74" s="198">
        <v>938.86</v>
      </c>
      <c r="Z74" s="198"/>
      <c r="AA74" s="198">
        <v>184.42</v>
      </c>
      <c r="AB74" s="198">
        <f>120.76+0.14</f>
        <v>120.9</v>
      </c>
      <c r="AC74" s="198">
        <f>40992.24+0.49+143.33</f>
        <v>41136.06</v>
      </c>
      <c r="AD74" s="198">
        <f>3872.23+31.56</f>
        <v>3903.79</v>
      </c>
      <c r="AE74" s="198">
        <v>2492.4299999999998</v>
      </c>
      <c r="AF74" s="198">
        <v>2539.71</v>
      </c>
      <c r="AG74" s="198">
        <f>4256.53-179.83</f>
        <v>4076.7</v>
      </c>
      <c r="AH74" s="198">
        <v>-1221.0899999999999</v>
      </c>
      <c r="AI74" s="198">
        <v>7388.68</v>
      </c>
      <c r="AJ74" s="198"/>
      <c r="AK74" s="198">
        <f t="shared" si="4"/>
        <v>46132.59</v>
      </c>
      <c r="AL74" s="198">
        <f t="shared" si="5"/>
        <v>3.0000007900525816E-3</v>
      </c>
    </row>
    <row r="75" spans="1:44" s="161" customFormat="1" ht="27.6" hidden="1" x14ac:dyDescent="0.3">
      <c r="A75" s="165">
        <v>74</v>
      </c>
      <c r="B75" s="61" t="s">
        <v>107</v>
      </c>
      <c r="C75" s="58" t="s">
        <v>107</v>
      </c>
      <c r="D75" s="58" t="s">
        <v>207</v>
      </c>
      <c r="E75" s="143" t="s">
        <v>788</v>
      </c>
      <c r="F75" s="231" t="s">
        <v>514</v>
      </c>
      <c r="G75" s="94">
        <v>116</v>
      </c>
      <c r="H75" s="85">
        <v>44508</v>
      </c>
      <c r="I75" s="85">
        <v>46022</v>
      </c>
      <c r="J75" s="107">
        <v>45292</v>
      </c>
      <c r="K75" s="107">
        <v>45382</v>
      </c>
      <c r="L75" s="140" t="s">
        <v>295</v>
      </c>
      <c r="M75" s="174" t="s">
        <v>513</v>
      </c>
      <c r="N75" s="58" t="s">
        <v>1</v>
      </c>
      <c r="O75" s="176">
        <v>45453</v>
      </c>
      <c r="P75" s="58" t="s">
        <v>101</v>
      </c>
      <c r="Q75" s="58"/>
      <c r="R75" s="58"/>
      <c r="S75" s="181">
        <f>[2]Sheet1!B6</f>
        <v>14411.240000000003</v>
      </c>
      <c r="T75" s="212">
        <v>837043.02</v>
      </c>
      <c r="U75" s="58" t="s">
        <v>31</v>
      </c>
      <c r="V75" s="58"/>
      <c r="X75" s="198">
        <v>576.21</v>
      </c>
      <c r="Y75" s="198">
        <v>59.34</v>
      </c>
      <c r="Z75" s="198"/>
      <c r="AA75" s="198">
        <v>1910.42</v>
      </c>
      <c r="AB75" s="198"/>
      <c r="AC75" s="198">
        <v>3147.84</v>
      </c>
      <c r="AD75" s="198">
        <v>2122.4699999999998</v>
      </c>
      <c r="AE75" s="198">
        <v>1136.3499999999999</v>
      </c>
      <c r="AF75" s="198">
        <v>13.13</v>
      </c>
      <c r="AG75" s="198">
        <v>3572.46</v>
      </c>
      <c r="AH75" s="198">
        <v>22.26</v>
      </c>
      <c r="AI75" s="198">
        <v>1850.76</v>
      </c>
      <c r="AJ75" s="198"/>
      <c r="AK75" s="198">
        <f t="shared" si="4"/>
        <v>14411.240000000002</v>
      </c>
      <c r="AL75" s="198">
        <f t="shared" si="5"/>
        <v>0</v>
      </c>
    </row>
    <row r="76" spans="1:44" s="161" customFormat="1" ht="234.6" hidden="1" x14ac:dyDescent="0.3">
      <c r="A76" s="165">
        <v>75</v>
      </c>
      <c r="B76" s="61" t="s">
        <v>107</v>
      </c>
      <c r="C76" s="58" t="s">
        <v>107</v>
      </c>
      <c r="D76" s="58" t="s">
        <v>208</v>
      </c>
      <c r="E76" s="138" t="s">
        <v>789</v>
      </c>
      <c r="F76" s="231" t="s">
        <v>511</v>
      </c>
      <c r="G76" s="94">
        <v>115</v>
      </c>
      <c r="H76" s="85">
        <v>45002</v>
      </c>
      <c r="I76" s="85">
        <v>45930</v>
      </c>
      <c r="J76" s="107">
        <v>45292</v>
      </c>
      <c r="K76" s="107">
        <v>45382</v>
      </c>
      <c r="L76" s="140" t="s">
        <v>295</v>
      </c>
      <c r="M76" s="150" t="s">
        <v>510</v>
      </c>
      <c r="N76" s="58" t="s">
        <v>1</v>
      </c>
      <c r="O76" s="176">
        <v>45453</v>
      </c>
      <c r="P76" s="58" t="s">
        <v>101</v>
      </c>
      <c r="Q76" s="58"/>
      <c r="R76" s="58"/>
      <c r="S76" s="181">
        <f>[2]Sheet1!B7</f>
        <v>31537.610142000001</v>
      </c>
      <c r="T76" s="212">
        <v>837043.02</v>
      </c>
      <c r="U76" s="58" t="s">
        <v>31</v>
      </c>
      <c r="V76" s="58"/>
      <c r="X76" s="198">
        <v>2318.7399999999998</v>
      </c>
      <c r="Y76" s="198">
        <v>690.53</v>
      </c>
      <c r="Z76" s="198"/>
      <c r="AA76" s="198">
        <v>1396.88</v>
      </c>
      <c r="AB76" s="198"/>
      <c r="AC76" s="198">
        <v>13085.62</v>
      </c>
      <c r="AD76" s="198">
        <v>2995.12</v>
      </c>
      <c r="AE76" s="198">
        <v>3226.13</v>
      </c>
      <c r="AF76" s="198">
        <v>568.17999999999995</v>
      </c>
      <c r="AG76" s="198">
        <v>2980.44</v>
      </c>
      <c r="AH76" s="198">
        <v>26.56</v>
      </c>
      <c r="AI76" s="198">
        <v>4249.41</v>
      </c>
      <c r="AJ76" s="198"/>
      <c r="AK76" s="198">
        <f t="shared" si="4"/>
        <v>31537.61</v>
      </c>
      <c r="AL76" s="198">
        <f t="shared" si="5"/>
        <v>-1.4200000077835284E-4</v>
      </c>
    </row>
    <row r="77" spans="1:44" s="161" customFormat="1" ht="13.8" hidden="1" x14ac:dyDescent="0.3">
      <c r="A77" s="165">
        <v>76</v>
      </c>
      <c r="B77" s="61" t="s">
        <v>107</v>
      </c>
      <c r="C77" s="58" t="s">
        <v>107</v>
      </c>
      <c r="D77" s="58" t="s">
        <v>209</v>
      </c>
      <c r="E77" s="138" t="s">
        <v>882</v>
      </c>
      <c r="F77" s="231" t="s">
        <v>508</v>
      </c>
      <c r="G77" s="94">
        <v>114</v>
      </c>
      <c r="H77" s="85">
        <v>44924</v>
      </c>
      <c r="I77" s="85">
        <v>46022</v>
      </c>
      <c r="J77" s="107">
        <v>45292</v>
      </c>
      <c r="K77" s="107">
        <v>45382</v>
      </c>
      <c r="L77" s="140" t="s">
        <v>295</v>
      </c>
      <c r="M77" s="174" t="s">
        <v>507</v>
      </c>
      <c r="N77" s="58" t="s">
        <v>1</v>
      </c>
      <c r="O77" s="176">
        <v>45453</v>
      </c>
      <c r="P77" s="58" t="s">
        <v>101</v>
      </c>
      <c r="Q77" s="58"/>
      <c r="R77" s="58"/>
      <c r="S77" s="181">
        <v>102953.72</v>
      </c>
      <c r="T77" s="212">
        <v>837043.02</v>
      </c>
      <c r="U77" s="58" t="s">
        <v>31</v>
      </c>
      <c r="V77" s="58"/>
      <c r="X77" s="198">
        <v>5216.83</v>
      </c>
      <c r="Y77" s="198">
        <v>1946.87</v>
      </c>
      <c r="Z77" s="198"/>
      <c r="AA77" s="198">
        <v>5473.01</v>
      </c>
      <c r="AB77" s="198"/>
      <c r="AC77" s="198">
        <f>12.43+48921.23</f>
        <v>48933.66</v>
      </c>
      <c r="AD77" s="198">
        <f>10933.12+156.06</f>
        <v>11089.18</v>
      </c>
      <c r="AE77" s="198">
        <v>6283.45</v>
      </c>
      <c r="AF77" s="198">
        <v>1963.08</v>
      </c>
      <c r="AG77" s="198">
        <v>12555.05</v>
      </c>
      <c r="AH77" s="198">
        <v>1011.72</v>
      </c>
      <c r="AI77" s="198">
        <v>8480.8700000000008</v>
      </c>
      <c r="AJ77" s="198"/>
      <c r="AK77" s="198">
        <f t="shared" si="4"/>
        <v>102953.72</v>
      </c>
      <c r="AL77" s="198">
        <f t="shared" si="5"/>
        <v>0</v>
      </c>
    </row>
    <row r="78" spans="1:44" s="161" customFormat="1" ht="110.4" hidden="1" x14ac:dyDescent="0.3">
      <c r="A78" s="165">
        <v>77</v>
      </c>
      <c r="B78" s="58" t="s">
        <v>0</v>
      </c>
      <c r="C78" s="58" t="s">
        <v>0</v>
      </c>
      <c r="D78" s="58" t="s">
        <v>68</v>
      </c>
      <c r="E78" s="102" t="s">
        <v>779</v>
      </c>
      <c r="F78" s="231" t="s">
        <v>424</v>
      </c>
      <c r="G78" s="94">
        <v>80</v>
      </c>
      <c r="H78" s="85">
        <v>41699</v>
      </c>
      <c r="I78" s="85">
        <v>46418</v>
      </c>
      <c r="J78" s="85">
        <v>45139</v>
      </c>
      <c r="K78" s="85">
        <v>45322</v>
      </c>
      <c r="L78" s="94" t="s">
        <v>872</v>
      </c>
      <c r="M78" s="179" t="s">
        <v>423</v>
      </c>
      <c r="N78" s="58" t="s">
        <v>71</v>
      </c>
      <c r="O78" s="176">
        <v>45457</v>
      </c>
      <c r="P78" s="58" t="s">
        <v>2</v>
      </c>
      <c r="Q78" s="58" t="s">
        <v>168</v>
      </c>
      <c r="R78" s="58"/>
      <c r="S78" s="318">
        <v>222430</v>
      </c>
      <c r="T78" s="181">
        <v>337830</v>
      </c>
      <c r="U78" s="58" t="s">
        <v>31</v>
      </c>
      <c r="V78" s="58"/>
      <c r="W78" s="156"/>
      <c r="X78" s="200">
        <v>14300</v>
      </c>
      <c r="Y78" s="200"/>
      <c r="Z78" s="200"/>
      <c r="AA78" s="198"/>
      <c r="AB78" s="198"/>
      <c r="AC78" s="198">
        <v>64870</v>
      </c>
      <c r="AD78" s="198">
        <v>47580</v>
      </c>
      <c r="AE78" s="198">
        <v>16380</v>
      </c>
      <c r="AF78" s="198"/>
      <c r="AG78" s="198"/>
      <c r="AH78" s="198"/>
      <c r="AI78" s="198">
        <v>79300</v>
      </c>
      <c r="AJ78" s="198"/>
      <c r="AK78" s="198">
        <f t="shared" si="4"/>
        <v>222430</v>
      </c>
      <c r="AL78" s="198">
        <f t="shared" si="5"/>
        <v>0</v>
      </c>
    </row>
    <row r="79" spans="1:44" s="161" customFormat="1" ht="110.4" hidden="1" x14ac:dyDescent="0.3">
      <c r="A79" s="165">
        <v>78</v>
      </c>
      <c r="B79" s="58" t="s">
        <v>0</v>
      </c>
      <c r="C79" s="58" t="s">
        <v>0</v>
      </c>
      <c r="D79" s="58" t="s">
        <v>69</v>
      </c>
      <c r="E79" s="102" t="s">
        <v>779</v>
      </c>
      <c r="F79" s="231" t="s">
        <v>424</v>
      </c>
      <c r="G79" s="94">
        <v>80</v>
      </c>
      <c r="H79" s="85">
        <v>41699</v>
      </c>
      <c r="I79" s="85">
        <v>46418</v>
      </c>
      <c r="J79" s="85">
        <v>45139</v>
      </c>
      <c r="K79" s="85">
        <v>45322</v>
      </c>
      <c r="L79" s="94" t="s">
        <v>872</v>
      </c>
      <c r="M79" s="179" t="s">
        <v>423</v>
      </c>
      <c r="N79" s="58" t="s">
        <v>71</v>
      </c>
      <c r="O79" s="176">
        <v>45457</v>
      </c>
      <c r="P79" s="58" t="s">
        <v>2</v>
      </c>
      <c r="Q79" s="58" t="s">
        <v>168</v>
      </c>
      <c r="R79" s="58"/>
      <c r="S79" s="318">
        <v>69800</v>
      </c>
      <c r="T79" s="181">
        <v>337830</v>
      </c>
      <c r="U79" s="58" t="s">
        <v>31</v>
      </c>
      <c r="V79" s="58"/>
      <c r="W79" s="156"/>
      <c r="X79" s="200">
        <v>200</v>
      </c>
      <c r="Y79" s="200"/>
      <c r="Z79" s="200"/>
      <c r="AA79" s="198"/>
      <c r="AB79" s="198"/>
      <c r="AC79" s="198">
        <v>44200</v>
      </c>
      <c r="AD79" s="198">
        <v>13600</v>
      </c>
      <c r="AE79" s="198">
        <v>2200</v>
      </c>
      <c r="AF79" s="198"/>
      <c r="AG79" s="198"/>
      <c r="AH79" s="198"/>
      <c r="AI79" s="198">
        <v>9600</v>
      </c>
      <c r="AJ79" s="198"/>
      <c r="AK79" s="198">
        <f t="shared" si="4"/>
        <v>69800</v>
      </c>
      <c r="AL79" s="198">
        <f t="shared" si="5"/>
        <v>0</v>
      </c>
    </row>
    <row r="80" spans="1:44" s="161" customFormat="1" ht="110.4" hidden="1" x14ac:dyDescent="0.3">
      <c r="A80" s="165">
        <v>79</v>
      </c>
      <c r="B80" s="58" t="s">
        <v>0</v>
      </c>
      <c r="C80" s="58" t="s">
        <v>0</v>
      </c>
      <c r="D80" s="58" t="s">
        <v>70</v>
      </c>
      <c r="E80" s="102" t="s">
        <v>779</v>
      </c>
      <c r="F80" s="231" t="s">
        <v>424</v>
      </c>
      <c r="G80" s="94">
        <v>80</v>
      </c>
      <c r="H80" s="85">
        <v>41699</v>
      </c>
      <c r="I80" s="85">
        <v>46418</v>
      </c>
      <c r="J80" s="85">
        <v>45139</v>
      </c>
      <c r="K80" s="85">
        <v>45322</v>
      </c>
      <c r="L80" s="94" t="s">
        <v>872</v>
      </c>
      <c r="M80" s="179" t="s">
        <v>423</v>
      </c>
      <c r="N80" s="58" t="s">
        <v>71</v>
      </c>
      <c r="O80" s="176">
        <v>45457</v>
      </c>
      <c r="P80" s="58" t="s">
        <v>2</v>
      </c>
      <c r="Q80" s="58" t="s">
        <v>168</v>
      </c>
      <c r="R80" s="58"/>
      <c r="S80" s="318">
        <v>45600</v>
      </c>
      <c r="T80" s="181">
        <v>337830</v>
      </c>
      <c r="U80" s="58" t="s">
        <v>31</v>
      </c>
      <c r="V80" s="58"/>
      <c r="W80" s="156"/>
      <c r="X80" s="200">
        <v>13600</v>
      </c>
      <c r="Y80" s="200"/>
      <c r="Z80" s="200"/>
      <c r="AA80" s="198"/>
      <c r="AB80" s="198"/>
      <c r="AC80" s="198">
        <v>32000</v>
      </c>
      <c r="AD80" s="198"/>
      <c r="AE80" s="198"/>
      <c r="AF80" s="198"/>
      <c r="AG80" s="198"/>
      <c r="AH80" s="198"/>
      <c r="AI80" s="198"/>
      <c r="AJ80" s="198"/>
      <c r="AK80" s="198">
        <f t="shared" ref="AK80:AK111" si="6">SUM(X80:AJ80)</f>
        <v>45600</v>
      </c>
      <c r="AL80" s="198">
        <f t="shared" si="5"/>
        <v>0</v>
      </c>
    </row>
    <row r="81" spans="1:44" s="161" customFormat="1" ht="110.4" hidden="1" x14ac:dyDescent="0.3">
      <c r="A81" s="165">
        <v>80</v>
      </c>
      <c r="B81" s="58" t="s">
        <v>0</v>
      </c>
      <c r="C81" s="58" t="s">
        <v>0</v>
      </c>
      <c r="D81" s="58" t="s">
        <v>32</v>
      </c>
      <c r="E81" s="102" t="s">
        <v>778</v>
      </c>
      <c r="F81" s="231" t="s">
        <v>429</v>
      </c>
      <c r="G81" s="94">
        <v>84</v>
      </c>
      <c r="H81" s="85">
        <v>44044</v>
      </c>
      <c r="I81" s="85">
        <v>46290</v>
      </c>
      <c r="J81" s="107">
        <v>45323</v>
      </c>
      <c r="K81" s="107">
        <v>45412</v>
      </c>
      <c r="L81" s="59" t="s">
        <v>295</v>
      </c>
      <c r="M81" s="179" t="s">
        <v>428</v>
      </c>
      <c r="N81" s="58" t="s">
        <v>1</v>
      </c>
      <c r="O81" s="176">
        <v>45457</v>
      </c>
      <c r="P81" s="58" t="s">
        <v>2</v>
      </c>
      <c r="Q81" s="58" t="s">
        <v>169</v>
      </c>
      <c r="R81" s="58"/>
      <c r="S81" s="316">
        <v>4500</v>
      </c>
      <c r="T81" s="181"/>
      <c r="U81" s="58" t="s">
        <v>31</v>
      </c>
      <c r="V81" s="58" t="s">
        <v>27</v>
      </c>
      <c r="W81" s="156"/>
      <c r="X81" s="200"/>
      <c r="Y81" s="200"/>
      <c r="Z81" s="200"/>
      <c r="AA81" s="198"/>
      <c r="AB81" s="198"/>
      <c r="AC81" s="198">
        <v>4500</v>
      </c>
      <c r="AD81" s="198"/>
      <c r="AE81" s="198"/>
      <c r="AF81" s="198"/>
      <c r="AG81" s="198"/>
      <c r="AH81" s="198"/>
      <c r="AI81" s="198"/>
      <c r="AJ81" s="198"/>
      <c r="AK81" s="198">
        <f t="shared" si="6"/>
        <v>4500</v>
      </c>
      <c r="AL81" s="198">
        <f t="shared" si="5"/>
        <v>0</v>
      </c>
    </row>
    <row r="82" spans="1:44" s="161" customFormat="1" ht="124.2" hidden="1" x14ac:dyDescent="0.3">
      <c r="A82" s="165">
        <v>81</v>
      </c>
      <c r="B82" s="61" t="s">
        <v>131</v>
      </c>
      <c r="C82" s="58" t="s">
        <v>131</v>
      </c>
      <c r="D82" s="58" t="s">
        <v>132</v>
      </c>
      <c r="E82" s="61" t="s">
        <v>930</v>
      </c>
      <c r="F82" s="24" t="s">
        <v>492</v>
      </c>
      <c r="G82" s="59">
        <v>105</v>
      </c>
      <c r="H82" s="107">
        <v>43455</v>
      </c>
      <c r="I82" s="107">
        <v>46011</v>
      </c>
      <c r="J82" s="107">
        <v>44927</v>
      </c>
      <c r="K82" s="107">
        <v>45291</v>
      </c>
      <c r="L82" s="59" t="s">
        <v>289</v>
      </c>
      <c r="M82" s="179" t="s">
        <v>931</v>
      </c>
      <c r="N82" s="157" t="s">
        <v>1</v>
      </c>
      <c r="O82" s="176">
        <v>45462</v>
      </c>
      <c r="P82" s="58" t="s">
        <v>98</v>
      </c>
      <c r="Q82" s="58"/>
      <c r="R82" s="58"/>
      <c r="S82" s="181">
        <v>50000</v>
      </c>
      <c r="T82" s="212"/>
      <c r="U82" s="58" t="s">
        <v>31</v>
      </c>
      <c r="V82" s="58" t="s">
        <v>27</v>
      </c>
      <c r="W82" s="161" t="s">
        <v>949</v>
      </c>
      <c r="X82" s="198"/>
      <c r="Y82" s="198"/>
      <c r="Z82" s="198"/>
      <c r="AA82" s="198"/>
      <c r="AB82" s="198"/>
      <c r="AC82" s="198">
        <v>16666.669999999998</v>
      </c>
      <c r="AD82" s="198">
        <v>8333.33</v>
      </c>
      <c r="AE82" s="198"/>
      <c r="AF82" s="198"/>
      <c r="AG82" s="198">
        <v>16666.669999999998</v>
      </c>
      <c r="AH82" s="198"/>
      <c r="AI82" s="198">
        <v>8333.33</v>
      </c>
      <c r="AJ82" s="198"/>
      <c r="AK82" s="198">
        <f t="shared" si="6"/>
        <v>50000</v>
      </c>
      <c r="AL82" s="198">
        <f t="shared" si="5"/>
        <v>0</v>
      </c>
    </row>
    <row r="83" spans="1:44" s="161" customFormat="1" ht="41.4" hidden="1" x14ac:dyDescent="0.3">
      <c r="A83" s="165">
        <v>82</v>
      </c>
      <c r="B83" s="61" t="s">
        <v>17</v>
      </c>
      <c r="C83" s="58" t="s">
        <v>17</v>
      </c>
      <c r="D83" s="58" t="s">
        <v>133</v>
      </c>
      <c r="E83" s="58" t="s">
        <v>925</v>
      </c>
      <c r="F83" s="58" t="s">
        <v>973</v>
      </c>
      <c r="G83" s="59">
        <v>534</v>
      </c>
      <c r="H83" s="107">
        <v>42993</v>
      </c>
      <c r="I83" s="141">
        <v>45657</v>
      </c>
      <c r="J83" s="107">
        <v>45383</v>
      </c>
      <c r="K83" s="107">
        <v>45473</v>
      </c>
      <c r="L83" s="59" t="s">
        <v>295</v>
      </c>
      <c r="M83" s="179" t="s">
        <v>927</v>
      </c>
      <c r="N83" s="157" t="s">
        <v>1</v>
      </c>
      <c r="O83" s="176">
        <v>45464</v>
      </c>
      <c r="P83" s="58" t="s">
        <v>2</v>
      </c>
      <c r="Q83" s="58" t="s">
        <v>166</v>
      </c>
      <c r="R83" s="58"/>
      <c r="S83" s="318">
        <v>2800</v>
      </c>
      <c r="T83" s="212">
        <v>2800</v>
      </c>
      <c r="U83" s="58" t="s">
        <v>31</v>
      </c>
      <c r="V83" s="58" t="s">
        <v>27</v>
      </c>
      <c r="X83" s="198"/>
      <c r="Y83" s="198"/>
      <c r="Z83" s="198"/>
      <c r="AA83" s="198"/>
      <c r="AB83" s="198"/>
      <c r="AC83" s="198">
        <v>1750</v>
      </c>
      <c r="AD83" s="198">
        <v>700</v>
      </c>
      <c r="AE83" s="198">
        <v>350</v>
      </c>
      <c r="AF83" s="198"/>
      <c r="AG83" s="198"/>
      <c r="AH83" s="198"/>
      <c r="AI83" s="198"/>
      <c r="AJ83" s="198"/>
      <c r="AK83" s="198">
        <f t="shared" si="6"/>
        <v>2800</v>
      </c>
      <c r="AL83" s="198">
        <f t="shared" si="5"/>
        <v>0</v>
      </c>
    </row>
    <row r="84" spans="1:44" s="161" customFormat="1" ht="13.8" hidden="1" x14ac:dyDescent="0.3">
      <c r="A84" s="165">
        <v>83</v>
      </c>
      <c r="B84" s="61" t="s">
        <v>17</v>
      </c>
      <c r="C84" s="58" t="s">
        <v>17</v>
      </c>
      <c r="D84" s="58" t="s">
        <v>138</v>
      </c>
      <c r="E84" s="58" t="s">
        <v>138</v>
      </c>
      <c r="F84" s="58" t="s">
        <v>973</v>
      </c>
      <c r="G84" s="59" t="s">
        <v>879</v>
      </c>
      <c r="H84" s="59"/>
      <c r="I84" s="59"/>
      <c r="J84" s="107">
        <v>43647</v>
      </c>
      <c r="K84" s="107">
        <v>45443</v>
      </c>
      <c r="L84" s="59" t="s">
        <v>901</v>
      </c>
      <c r="M84" s="157"/>
      <c r="N84" s="58" t="s">
        <v>1</v>
      </c>
      <c r="O84" s="176">
        <v>45470</v>
      </c>
      <c r="P84" s="58" t="s">
        <v>98</v>
      </c>
      <c r="Q84" s="58"/>
      <c r="R84" s="58"/>
      <c r="S84" s="318">
        <f>525000+1446.78</f>
        <v>526446.78</v>
      </c>
      <c r="T84" s="212"/>
      <c r="U84" s="58" t="s">
        <v>35</v>
      </c>
      <c r="V84" s="58" t="s">
        <v>27</v>
      </c>
      <c r="X84" s="198"/>
      <c r="Y84" s="198"/>
      <c r="Z84" s="198"/>
      <c r="AA84" s="198"/>
      <c r="AB84" s="198"/>
      <c r="AC84" s="198">
        <v>526446.78</v>
      </c>
      <c r="AD84" s="198"/>
      <c r="AE84" s="198"/>
      <c r="AF84" s="198"/>
      <c r="AG84" s="198"/>
      <c r="AH84" s="198"/>
      <c r="AI84" s="198"/>
      <c r="AJ84" s="198"/>
      <c r="AK84" s="198">
        <f t="shared" si="6"/>
        <v>526446.78</v>
      </c>
      <c r="AL84" s="198">
        <f t="shared" si="5"/>
        <v>0</v>
      </c>
    </row>
    <row r="85" spans="1:44" s="161" customFormat="1" ht="110.4" hidden="1" x14ac:dyDescent="0.3">
      <c r="A85" s="165">
        <v>84</v>
      </c>
      <c r="B85" s="61" t="s">
        <v>0</v>
      </c>
      <c r="C85" s="61" t="s">
        <v>0</v>
      </c>
      <c r="D85" s="61" t="s">
        <v>33</v>
      </c>
      <c r="E85" s="102" t="s">
        <v>778</v>
      </c>
      <c r="F85" s="231" t="s">
        <v>429</v>
      </c>
      <c r="G85" s="94">
        <v>84</v>
      </c>
      <c r="H85" s="85">
        <v>44044</v>
      </c>
      <c r="I85" s="85">
        <v>46290</v>
      </c>
      <c r="J85" s="107">
        <v>45292</v>
      </c>
      <c r="K85" s="107">
        <v>45382</v>
      </c>
      <c r="L85" s="59" t="s">
        <v>295</v>
      </c>
      <c r="M85" s="179" t="s">
        <v>428</v>
      </c>
      <c r="N85" s="61" t="s">
        <v>1</v>
      </c>
      <c r="O85" s="178">
        <v>45471</v>
      </c>
      <c r="P85" s="61" t="s">
        <v>2</v>
      </c>
      <c r="Q85" s="61" t="s">
        <v>166</v>
      </c>
      <c r="R85" s="61"/>
      <c r="S85" s="316">
        <v>23400</v>
      </c>
      <c r="T85" s="181">
        <v>519932.55</v>
      </c>
      <c r="U85" s="61" t="s">
        <v>31</v>
      </c>
      <c r="V85" s="61" t="s">
        <v>27</v>
      </c>
      <c r="W85" s="147"/>
      <c r="X85" s="202"/>
      <c r="Y85" s="202"/>
      <c r="Z85" s="202"/>
      <c r="AA85" s="199">
        <v>1350</v>
      </c>
      <c r="AB85" s="199"/>
      <c r="AC85" s="199">
        <v>9000</v>
      </c>
      <c r="AD85" s="199">
        <v>13050</v>
      </c>
      <c r="AE85" s="199"/>
      <c r="AF85" s="199"/>
      <c r="AG85" s="199"/>
      <c r="AH85" s="199"/>
      <c r="AI85" s="199"/>
      <c r="AJ85" s="199"/>
      <c r="AK85" s="198">
        <f t="shared" si="6"/>
        <v>23400</v>
      </c>
      <c r="AL85" s="198">
        <f t="shared" si="5"/>
        <v>0</v>
      </c>
    </row>
    <row r="86" spans="1:44" s="161" customFormat="1" ht="110.4" hidden="1" x14ac:dyDescent="0.3">
      <c r="A86" s="165">
        <v>85</v>
      </c>
      <c r="B86" s="58" t="s">
        <v>0</v>
      </c>
      <c r="C86" s="58" t="s">
        <v>0</v>
      </c>
      <c r="D86" s="58" t="s">
        <v>34</v>
      </c>
      <c r="E86" s="102" t="s">
        <v>778</v>
      </c>
      <c r="F86" s="231" t="s">
        <v>429</v>
      </c>
      <c r="G86" s="94">
        <v>84</v>
      </c>
      <c r="H86" s="85">
        <v>44044</v>
      </c>
      <c r="I86" s="85">
        <v>46290</v>
      </c>
      <c r="J86" s="107">
        <v>45017</v>
      </c>
      <c r="K86" s="107">
        <v>45382</v>
      </c>
      <c r="L86" s="59" t="s">
        <v>289</v>
      </c>
      <c r="M86" s="174" t="s">
        <v>428</v>
      </c>
      <c r="N86" s="58" t="s">
        <v>1</v>
      </c>
      <c r="O86" s="176">
        <v>45471</v>
      </c>
      <c r="P86" s="58" t="s">
        <v>2</v>
      </c>
      <c r="Q86" s="58" t="s">
        <v>166</v>
      </c>
      <c r="R86" s="58"/>
      <c r="S86" s="316">
        <v>226108.76</v>
      </c>
      <c r="T86" s="181">
        <v>519932.55</v>
      </c>
      <c r="U86" s="58" t="s">
        <v>31</v>
      </c>
      <c r="V86" s="58" t="s">
        <v>27</v>
      </c>
      <c r="W86" s="156"/>
      <c r="X86" s="200">
        <v>16861.64</v>
      </c>
      <c r="Y86" s="200"/>
      <c r="Z86" s="200"/>
      <c r="AA86" s="198">
        <v>1083.26</v>
      </c>
      <c r="AB86" s="198"/>
      <c r="AC86" s="198">
        <v>85247.12</v>
      </c>
      <c r="AD86" s="198">
        <v>90847.59</v>
      </c>
      <c r="AE86" s="198">
        <v>7182.87</v>
      </c>
      <c r="AF86" s="198"/>
      <c r="AG86" s="198"/>
      <c r="AH86" s="198"/>
      <c r="AI86" s="198">
        <v>24886.28</v>
      </c>
      <c r="AJ86" s="198"/>
      <c r="AK86" s="198">
        <f t="shared" si="6"/>
        <v>226108.75999999998</v>
      </c>
      <c r="AL86" s="198">
        <f t="shared" si="5"/>
        <v>0</v>
      </c>
    </row>
    <row r="87" spans="1:44" s="161" customFormat="1" ht="110.4" hidden="1" x14ac:dyDescent="0.3">
      <c r="A87" s="165">
        <v>86</v>
      </c>
      <c r="B87" s="58" t="s">
        <v>0</v>
      </c>
      <c r="C87" s="58" t="s">
        <v>0</v>
      </c>
      <c r="D87" s="58" t="s">
        <v>33</v>
      </c>
      <c r="E87" s="102" t="s">
        <v>778</v>
      </c>
      <c r="F87" s="231" t="s">
        <v>429</v>
      </c>
      <c r="G87" s="94">
        <v>84</v>
      </c>
      <c r="H87" s="85">
        <v>44044</v>
      </c>
      <c r="I87" s="85">
        <v>46290</v>
      </c>
      <c r="J87" s="107">
        <v>45292</v>
      </c>
      <c r="K87" s="107">
        <v>45382</v>
      </c>
      <c r="L87" s="59" t="s">
        <v>295</v>
      </c>
      <c r="M87" s="179" t="s">
        <v>428</v>
      </c>
      <c r="N87" s="58" t="s">
        <v>1</v>
      </c>
      <c r="O87" s="176">
        <v>45471</v>
      </c>
      <c r="P87" s="58" t="s">
        <v>2</v>
      </c>
      <c r="Q87" s="58" t="s">
        <v>169</v>
      </c>
      <c r="R87" s="58"/>
      <c r="S87" s="316">
        <v>270423.78999999998</v>
      </c>
      <c r="T87" s="181">
        <v>519932.55</v>
      </c>
      <c r="U87" s="58" t="s">
        <v>31</v>
      </c>
      <c r="V87" s="58" t="s">
        <v>27</v>
      </c>
      <c r="W87" s="156"/>
      <c r="X87" s="200">
        <v>2563.59</v>
      </c>
      <c r="Y87" s="200"/>
      <c r="Z87" s="200"/>
      <c r="AA87" s="198">
        <v>633.09</v>
      </c>
      <c r="AB87" s="198"/>
      <c r="AC87" s="198">
        <v>112258.61</v>
      </c>
      <c r="AD87" s="198">
        <v>127957.38</v>
      </c>
      <c r="AE87" s="198">
        <v>3251.4</v>
      </c>
      <c r="AF87" s="198"/>
      <c r="AG87" s="198"/>
      <c r="AH87" s="198"/>
      <c r="AI87" s="198">
        <v>23759.72</v>
      </c>
      <c r="AJ87" s="198"/>
      <c r="AK87" s="198">
        <f t="shared" si="6"/>
        <v>270423.79000000004</v>
      </c>
      <c r="AL87" s="198">
        <f t="shared" si="5"/>
        <v>0</v>
      </c>
    </row>
    <row r="88" spans="1:44" s="161" customFormat="1" ht="41.4" hidden="1" x14ac:dyDescent="0.3">
      <c r="A88" s="165">
        <v>87</v>
      </c>
      <c r="B88" s="61" t="s">
        <v>14</v>
      </c>
      <c r="C88" s="61" t="s">
        <v>912</v>
      </c>
      <c r="D88" s="61" t="s">
        <v>157</v>
      </c>
      <c r="E88" s="61" t="s">
        <v>157</v>
      </c>
      <c r="F88" s="61" t="s">
        <v>973</v>
      </c>
      <c r="G88" s="59">
        <v>99</v>
      </c>
      <c r="H88" s="107">
        <v>44501</v>
      </c>
      <c r="I88" s="107">
        <v>46579</v>
      </c>
      <c r="J88" s="107">
        <v>45292</v>
      </c>
      <c r="K88" s="107">
        <v>45657</v>
      </c>
      <c r="L88" s="59" t="s">
        <v>289</v>
      </c>
      <c r="M88" s="61" t="s">
        <v>913</v>
      </c>
      <c r="N88" s="146" t="s">
        <v>1</v>
      </c>
      <c r="O88" s="178">
        <v>45474</v>
      </c>
      <c r="P88" s="61" t="s">
        <v>98</v>
      </c>
      <c r="Q88" s="61"/>
      <c r="R88" s="61"/>
      <c r="S88" s="181">
        <v>218972.82</v>
      </c>
      <c r="T88" s="181"/>
      <c r="U88" s="61" t="s">
        <v>35</v>
      </c>
      <c r="V88" s="61" t="s">
        <v>27</v>
      </c>
      <c r="W88" s="147"/>
      <c r="X88" s="199"/>
      <c r="Y88" s="202"/>
      <c r="Z88" s="202"/>
      <c r="AA88" s="199"/>
      <c r="AB88" s="199"/>
      <c r="AC88" s="199">
        <f>166400.02+12278.04</f>
        <v>178678.06</v>
      </c>
      <c r="AD88" s="199">
        <v>7327.82</v>
      </c>
      <c r="AE88" s="199"/>
      <c r="AF88" s="199"/>
      <c r="AG88" s="199">
        <v>22843.59</v>
      </c>
      <c r="AH88" s="199"/>
      <c r="AI88" s="199">
        <f>5692.5+4430.85</f>
        <v>10123.35</v>
      </c>
      <c r="AJ88" s="199"/>
      <c r="AK88" s="198">
        <f t="shared" si="6"/>
        <v>218972.82</v>
      </c>
      <c r="AL88" s="198">
        <f t="shared" si="5"/>
        <v>0</v>
      </c>
    </row>
    <row r="89" spans="1:44" s="161" customFormat="1" ht="41.4" hidden="1" x14ac:dyDescent="0.3">
      <c r="A89" s="165">
        <v>88</v>
      </c>
      <c r="B89" s="58" t="s">
        <v>588</v>
      </c>
      <c r="C89" s="58" t="s">
        <v>17</v>
      </c>
      <c r="D89" s="58" t="s">
        <v>924</v>
      </c>
      <c r="E89" s="102" t="s">
        <v>878</v>
      </c>
      <c r="F89" s="231" t="s">
        <v>306</v>
      </c>
      <c r="G89" s="94">
        <v>12</v>
      </c>
      <c r="H89" s="85">
        <v>41852</v>
      </c>
      <c r="I89" s="85">
        <v>46599</v>
      </c>
      <c r="J89" s="107">
        <v>45383</v>
      </c>
      <c r="K89" s="107">
        <v>45473</v>
      </c>
      <c r="L89" s="59" t="s">
        <v>295</v>
      </c>
      <c r="M89" s="174" t="s">
        <v>305</v>
      </c>
      <c r="N89" s="58" t="s">
        <v>1</v>
      </c>
      <c r="O89" s="178">
        <v>45474</v>
      </c>
      <c r="P89" s="58" t="s">
        <v>2</v>
      </c>
      <c r="Q89" s="58" t="s">
        <v>168</v>
      </c>
      <c r="R89" s="58"/>
      <c r="S89" s="318">
        <v>9000</v>
      </c>
      <c r="T89" s="181">
        <v>9000</v>
      </c>
      <c r="U89" s="58" t="s">
        <v>35</v>
      </c>
      <c r="V89" s="58"/>
      <c r="X89" s="198"/>
      <c r="Y89" s="198"/>
      <c r="Z89" s="198"/>
      <c r="AA89" s="198"/>
      <c r="AB89" s="198"/>
      <c r="AC89" s="198">
        <v>9000</v>
      </c>
      <c r="AD89" s="198"/>
      <c r="AE89" s="198"/>
      <c r="AF89" s="198"/>
      <c r="AG89" s="198"/>
      <c r="AH89" s="198"/>
      <c r="AI89" s="198"/>
      <c r="AJ89" s="198"/>
      <c r="AK89" s="198">
        <f t="shared" si="6"/>
        <v>9000</v>
      </c>
      <c r="AL89" s="198">
        <f t="shared" si="5"/>
        <v>0</v>
      </c>
    </row>
    <row r="90" spans="1:44" s="161" customFormat="1" ht="69" hidden="1" x14ac:dyDescent="0.3">
      <c r="A90" s="165">
        <v>89</v>
      </c>
      <c r="B90" s="61" t="s">
        <v>17</v>
      </c>
      <c r="C90" s="58" t="s">
        <v>17</v>
      </c>
      <c r="D90" s="58" t="s">
        <v>134</v>
      </c>
      <c r="E90" s="58" t="s">
        <v>923</v>
      </c>
      <c r="F90" s="24" t="s">
        <v>300</v>
      </c>
      <c r="G90" s="59">
        <v>10</v>
      </c>
      <c r="H90" s="107">
        <v>42425</v>
      </c>
      <c r="I90" s="107">
        <v>46294</v>
      </c>
      <c r="J90" s="107">
        <v>45318</v>
      </c>
      <c r="K90" s="107">
        <v>45408</v>
      </c>
      <c r="L90" s="94" t="s">
        <v>295</v>
      </c>
      <c r="M90" s="186" t="s">
        <v>299</v>
      </c>
      <c r="N90" s="58" t="s">
        <v>1</v>
      </c>
      <c r="O90" s="176">
        <v>45474</v>
      </c>
      <c r="P90" s="58" t="s">
        <v>135</v>
      </c>
      <c r="Q90" s="58"/>
      <c r="R90" s="58"/>
      <c r="S90" s="318">
        <v>24734.880000000001</v>
      </c>
      <c r="T90" s="181">
        <v>24734.880000000001</v>
      </c>
      <c r="U90" s="58" t="s">
        <v>35</v>
      </c>
      <c r="V90" s="58" t="s">
        <v>27</v>
      </c>
      <c r="X90" s="198"/>
      <c r="Y90" s="198"/>
      <c r="Z90" s="198"/>
      <c r="AA90" s="198"/>
      <c r="AB90" s="198"/>
      <c r="AC90" s="198">
        <v>3370.04</v>
      </c>
      <c r="AD90" s="198"/>
      <c r="AE90" s="198"/>
      <c r="AF90" s="198"/>
      <c r="AG90" s="198">
        <v>21362.61</v>
      </c>
      <c r="AH90" s="198"/>
      <c r="AI90" s="198">
        <v>2.23</v>
      </c>
      <c r="AJ90" s="198"/>
      <c r="AK90" s="198">
        <f t="shared" si="6"/>
        <v>24734.880000000001</v>
      </c>
      <c r="AL90" s="198">
        <f t="shared" si="5"/>
        <v>0</v>
      </c>
    </row>
    <row r="91" spans="1:44" s="165" customFormat="1" ht="110.4" hidden="1" x14ac:dyDescent="0.3">
      <c r="A91" s="165">
        <v>90</v>
      </c>
      <c r="B91" s="58" t="s">
        <v>0</v>
      </c>
      <c r="C91" s="58" t="s">
        <v>0</v>
      </c>
      <c r="D91" s="58" t="s">
        <v>36</v>
      </c>
      <c r="E91" s="102" t="s">
        <v>778</v>
      </c>
      <c r="F91" s="231" t="s">
        <v>429</v>
      </c>
      <c r="G91" s="94">
        <v>84</v>
      </c>
      <c r="H91" s="85">
        <v>44044</v>
      </c>
      <c r="I91" s="85">
        <v>46290</v>
      </c>
      <c r="J91" s="107">
        <v>45352</v>
      </c>
      <c r="K91" s="107">
        <v>45443</v>
      </c>
      <c r="L91" s="144" t="s">
        <v>295</v>
      </c>
      <c r="M91" s="174" t="s">
        <v>428</v>
      </c>
      <c r="N91" s="58" t="s">
        <v>1</v>
      </c>
      <c r="O91" s="176">
        <v>45475</v>
      </c>
      <c r="P91" s="58" t="s">
        <v>2</v>
      </c>
      <c r="Q91" s="58" t="s">
        <v>169</v>
      </c>
      <c r="R91" s="58"/>
      <c r="S91" s="316">
        <v>232000</v>
      </c>
      <c r="T91" s="181"/>
      <c r="U91" s="58" t="s">
        <v>35</v>
      </c>
      <c r="V91" s="58" t="s">
        <v>27</v>
      </c>
      <c r="W91" s="156"/>
      <c r="X91" s="200"/>
      <c r="Y91" s="200"/>
      <c r="Z91" s="200"/>
      <c r="AA91" s="198"/>
      <c r="AB91" s="198"/>
      <c r="AC91" s="198">
        <v>208000</v>
      </c>
      <c r="AD91" s="198">
        <v>24000</v>
      </c>
      <c r="AE91" s="198"/>
      <c r="AF91" s="198"/>
      <c r="AG91" s="198"/>
      <c r="AH91" s="198"/>
      <c r="AI91" s="198"/>
      <c r="AJ91" s="198"/>
      <c r="AK91" s="198">
        <f t="shared" si="6"/>
        <v>232000</v>
      </c>
      <c r="AL91" s="198">
        <f t="shared" si="5"/>
        <v>0</v>
      </c>
      <c r="AM91" s="161"/>
      <c r="AN91" s="161"/>
      <c r="AO91" s="161"/>
      <c r="AP91" s="161"/>
      <c r="AQ91" s="161"/>
      <c r="AR91" s="161"/>
    </row>
    <row r="92" spans="1:44" s="165" customFormat="1" ht="55.2" hidden="1" x14ac:dyDescent="0.3">
      <c r="A92" s="165">
        <v>91</v>
      </c>
      <c r="B92" s="61" t="s">
        <v>17</v>
      </c>
      <c r="C92" s="58" t="s">
        <v>17</v>
      </c>
      <c r="D92" s="58" t="s">
        <v>136</v>
      </c>
      <c r="E92" s="102" t="s">
        <v>771</v>
      </c>
      <c r="F92" s="231" t="s">
        <v>311</v>
      </c>
      <c r="G92" s="94">
        <v>17</v>
      </c>
      <c r="H92" s="85">
        <v>43452</v>
      </c>
      <c r="I92" s="85">
        <v>46387</v>
      </c>
      <c r="J92" s="107">
        <v>45318</v>
      </c>
      <c r="K92" s="107">
        <v>45408</v>
      </c>
      <c r="L92" s="144" t="s">
        <v>295</v>
      </c>
      <c r="M92" s="174" t="s">
        <v>310</v>
      </c>
      <c r="N92" s="58" t="s">
        <v>1</v>
      </c>
      <c r="O92" s="176">
        <v>45481</v>
      </c>
      <c r="P92" s="58" t="s">
        <v>2</v>
      </c>
      <c r="Q92" s="58" t="s">
        <v>168</v>
      </c>
      <c r="R92" s="58"/>
      <c r="S92" s="318">
        <v>20925</v>
      </c>
      <c r="T92" s="181">
        <v>20925</v>
      </c>
      <c r="U92" s="58" t="s">
        <v>35</v>
      </c>
      <c r="V92" s="58" t="s">
        <v>27</v>
      </c>
      <c r="W92" s="161"/>
      <c r="X92" s="198">
        <v>225</v>
      </c>
      <c r="Y92" s="198"/>
      <c r="Z92" s="198"/>
      <c r="AA92" s="198"/>
      <c r="AB92" s="198"/>
      <c r="AC92" s="198">
        <v>11475</v>
      </c>
      <c r="AD92" s="198">
        <v>6750</v>
      </c>
      <c r="AE92" s="198">
        <v>675</v>
      </c>
      <c r="AF92" s="198"/>
      <c r="AG92" s="198">
        <v>1800</v>
      </c>
      <c r="AH92" s="198"/>
      <c r="AI92" s="198"/>
      <c r="AJ92" s="198"/>
      <c r="AK92" s="198">
        <f t="shared" si="6"/>
        <v>20925</v>
      </c>
      <c r="AL92" s="198">
        <f t="shared" si="5"/>
        <v>0</v>
      </c>
      <c r="AM92" s="161"/>
      <c r="AN92" s="161"/>
      <c r="AO92" s="161"/>
      <c r="AP92" s="161"/>
      <c r="AQ92" s="161"/>
      <c r="AR92" s="161"/>
    </row>
    <row r="93" spans="1:44" s="165" customFormat="1" ht="69" hidden="1" x14ac:dyDescent="0.3">
      <c r="A93" s="165">
        <v>92</v>
      </c>
      <c r="B93" s="61" t="s">
        <v>17</v>
      </c>
      <c r="C93" s="58" t="s">
        <v>17</v>
      </c>
      <c r="D93" s="58" t="s">
        <v>137</v>
      </c>
      <c r="E93" s="58" t="s">
        <v>923</v>
      </c>
      <c r="F93" s="232" t="s">
        <v>1001</v>
      </c>
      <c r="G93" s="59">
        <v>14</v>
      </c>
      <c r="H93" s="107">
        <v>42425</v>
      </c>
      <c r="I93" s="107">
        <v>46294</v>
      </c>
      <c r="J93" s="107">
        <v>45318</v>
      </c>
      <c r="K93" s="107">
        <v>45408</v>
      </c>
      <c r="L93" s="94" t="s">
        <v>295</v>
      </c>
      <c r="M93" s="179" t="s">
        <v>299</v>
      </c>
      <c r="N93" s="58" t="s">
        <v>1</v>
      </c>
      <c r="O93" s="176">
        <v>45483</v>
      </c>
      <c r="P93" s="58" t="s">
        <v>98</v>
      </c>
      <c r="Q93" s="58"/>
      <c r="R93" s="58"/>
      <c r="S93" s="318">
        <v>118302.29</v>
      </c>
      <c r="T93" s="181">
        <v>118302.29</v>
      </c>
      <c r="U93" s="58" t="s">
        <v>35</v>
      </c>
      <c r="V93" s="58" t="s">
        <v>27</v>
      </c>
      <c r="W93" s="161"/>
      <c r="X93" s="198"/>
      <c r="Y93" s="198"/>
      <c r="Z93" s="198"/>
      <c r="AA93" s="198"/>
      <c r="AB93" s="198"/>
      <c r="AC93" s="198">
        <v>61492.25</v>
      </c>
      <c r="AD93" s="198">
        <v>1519</v>
      </c>
      <c r="AE93" s="198"/>
      <c r="AF93" s="198"/>
      <c r="AG93" s="198">
        <v>43703.839999999997</v>
      </c>
      <c r="AH93" s="198"/>
      <c r="AI93" s="198">
        <v>11587.2</v>
      </c>
      <c r="AJ93" s="198"/>
      <c r="AK93" s="198">
        <f t="shared" si="6"/>
        <v>118302.29</v>
      </c>
      <c r="AL93" s="198">
        <f t="shared" si="5"/>
        <v>0</v>
      </c>
      <c r="AM93" s="161"/>
      <c r="AN93" s="161"/>
      <c r="AO93" s="161"/>
      <c r="AP93" s="161"/>
      <c r="AQ93" s="161"/>
      <c r="AR93" s="161"/>
    </row>
    <row r="94" spans="1:44" s="161" customFormat="1" ht="372.6" hidden="1" x14ac:dyDescent="0.3">
      <c r="A94" s="165">
        <v>93</v>
      </c>
      <c r="B94" s="61" t="s">
        <v>30</v>
      </c>
      <c r="C94" s="61" t="s">
        <v>30</v>
      </c>
      <c r="D94" s="109" t="s">
        <v>40</v>
      </c>
      <c r="E94" s="102" t="s">
        <v>874</v>
      </c>
      <c r="F94" s="231" t="s">
        <v>381</v>
      </c>
      <c r="G94" s="94">
        <v>174</v>
      </c>
      <c r="H94" s="85">
        <v>42061</v>
      </c>
      <c r="I94" s="85">
        <v>46446</v>
      </c>
      <c r="J94" s="85">
        <v>45383</v>
      </c>
      <c r="K94" s="85">
        <v>45473</v>
      </c>
      <c r="L94" s="140" t="s">
        <v>295</v>
      </c>
      <c r="M94" s="174" t="s">
        <v>380</v>
      </c>
      <c r="N94" s="61" t="s">
        <v>5</v>
      </c>
      <c r="O94" s="178">
        <v>45489</v>
      </c>
      <c r="P94" s="61" t="s">
        <v>2</v>
      </c>
      <c r="Q94" s="61" t="s">
        <v>168</v>
      </c>
      <c r="R94" s="61"/>
      <c r="S94" s="318">
        <v>6596.7</v>
      </c>
      <c r="T94" s="181"/>
      <c r="U94" s="61" t="s">
        <v>35</v>
      </c>
      <c r="V94" s="109"/>
      <c r="W94" s="155"/>
      <c r="X94" s="199"/>
      <c r="Y94" s="199"/>
      <c r="Z94" s="199"/>
      <c r="AA94" s="199"/>
      <c r="AB94" s="199"/>
      <c r="AC94" s="198">
        <v>6596.7</v>
      </c>
      <c r="AD94" s="199"/>
      <c r="AE94" s="199"/>
      <c r="AF94" s="199"/>
      <c r="AG94" s="199"/>
      <c r="AH94" s="199"/>
      <c r="AI94" s="199"/>
      <c r="AJ94" s="199"/>
      <c r="AK94" s="198">
        <f t="shared" si="6"/>
        <v>6596.7</v>
      </c>
      <c r="AL94" s="198">
        <f t="shared" si="5"/>
        <v>0</v>
      </c>
      <c r="AM94" s="165"/>
      <c r="AN94" s="165"/>
      <c r="AO94" s="165"/>
      <c r="AP94" s="165"/>
      <c r="AQ94" s="165"/>
      <c r="AR94" s="165"/>
    </row>
    <row r="95" spans="1:44" s="161" customFormat="1" ht="372.6" hidden="1" x14ac:dyDescent="0.3">
      <c r="A95" s="165">
        <v>94</v>
      </c>
      <c r="B95" s="61" t="s">
        <v>30</v>
      </c>
      <c r="C95" s="61" t="s">
        <v>30</v>
      </c>
      <c r="D95" s="109" t="s">
        <v>87</v>
      </c>
      <c r="E95" s="102" t="s">
        <v>874</v>
      </c>
      <c r="F95" s="231" t="s">
        <v>381</v>
      </c>
      <c r="G95" s="94">
        <v>175</v>
      </c>
      <c r="H95" s="85">
        <v>42061</v>
      </c>
      <c r="I95" s="85">
        <v>46446</v>
      </c>
      <c r="J95" s="85">
        <v>45383</v>
      </c>
      <c r="K95" s="85">
        <v>45473</v>
      </c>
      <c r="L95" s="94" t="s">
        <v>295</v>
      </c>
      <c r="M95" s="186" t="s">
        <v>380</v>
      </c>
      <c r="N95" s="61" t="s">
        <v>5</v>
      </c>
      <c r="O95" s="178">
        <v>45489</v>
      </c>
      <c r="P95" s="61" t="s">
        <v>2</v>
      </c>
      <c r="Q95" s="61" t="s">
        <v>168</v>
      </c>
      <c r="R95" s="61"/>
      <c r="S95" s="318">
        <v>44000</v>
      </c>
      <c r="T95" s="181"/>
      <c r="U95" s="61" t="s">
        <v>35</v>
      </c>
      <c r="V95" s="109"/>
      <c r="W95" s="155"/>
      <c r="X95" s="199"/>
      <c r="Y95" s="199"/>
      <c r="Z95" s="199"/>
      <c r="AA95" s="199"/>
      <c r="AB95" s="199"/>
      <c r="AC95" s="199">
        <v>26000</v>
      </c>
      <c r="AD95" s="199">
        <v>18000</v>
      </c>
      <c r="AE95" s="199"/>
      <c r="AF95" s="199"/>
      <c r="AG95" s="199"/>
      <c r="AH95" s="199"/>
      <c r="AI95" s="199"/>
      <c r="AJ95" s="199"/>
      <c r="AK95" s="198">
        <f t="shared" si="6"/>
        <v>44000</v>
      </c>
      <c r="AL95" s="198">
        <f t="shared" si="5"/>
        <v>0</v>
      </c>
      <c r="AM95" s="165"/>
      <c r="AN95" s="165"/>
      <c r="AO95" s="165"/>
      <c r="AP95" s="165"/>
      <c r="AQ95" s="165"/>
      <c r="AR95" s="165"/>
    </row>
    <row r="96" spans="1:44" s="165" customFormat="1" ht="27.6" hidden="1" x14ac:dyDescent="0.3">
      <c r="A96" s="165">
        <v>95</v>
      </c>
      <c r="B96" s="61" t="s">
        <v>149</v>
      </c>
      <c r="C96" s="61" t="s">
        <v>152</v>
      </c>
      <c r="D96" s="109" t="s">
        <v>189</v>
      </c>
      <c r="E96" s="109" t="s">
        <v>928</v>
      </c>
      <c r="F96" s="24" t="s">
        <v>325</v>
      </c>
      <c r="G96" s="94">
        <v>30</v>
      </c>
      <c r="H96" s="85">
        <v>44742</v>
      </c>
      <c r="I96" s="85">
        <v>47422</v>
      </c>
      <c r="J96" s="85">
        <v>45383</v>
      </c>
      <c r="K96" s="85">
        <v>45473</v>
      </c>
      <c r="L96" s="140" t="s">
        <v>295</v>
      </c>
      <c r="M96" s="177" t="s">
        <v>282</v>
      </c>
      <c r="N96" s="61" t="s">
        <v>188</v>
      </c>
      <c r="O96" s="178">
        <v>45492</v>
      </c>
      <c r="P96" s="61" t="s">
        <v>92</v>
      </c>
      <c r="Q96" s="61"/>
      <c r="R96" s="61"/>
      <c r="S96" s="181">
        <v>23750</v>
      </c>
      <c r="T96" s="181" t="s">
        <v>244</v>
      </c>
      <c r="U96" s="61" t="s">
        <v>35</v>
      </c>
      <c r="V96" s="109"/>
      <c r="W96" s="155" t="s">
        <v>232</v>
      </c>
      <c r="X96" s="199">
        <f>578.61+161.39+64.64</f>
        <v>804.64</v>
      </c>
      <c r="Y96" s="199">
        <v>7788.04</v>
      </c>
      <c r="Z96" s="199"/>
      <c r="AA96" s="199">
        <v>554.67999999999995</v>
      </c>
      <c r="AB96" s="199">
        <v>372.79</v>
      </c>
      <c r="AC96" s="199">
        <f>8771.8+1408.9</f>
        <v>10180.699999999999</v>
      </c>
      <c r="AD96" s="199">
        <f>1157.1+1.55</f>
        <v>1158.6499999999999</v>
      </c>
      <c r="AE96" s="199"/>
      <c r="AF96" s="199">
        <v>587.83000000000004</v>
      </c>
      <c r="AG96" s="199">
        <f>1793.75+150.94</f>
        <v>1944.69</v>
      </c>
      <c r="AH96" s="199">
        <v>357.98</v>
      </c>
      <c r="AI96" s="199"/>
      <c r="AJ96" s="199"/>
      <c r="AK96" s="198">
        <f t="shared" si="6"/>
        <v>23750</v>
      </c>
      <c r="AL96" s="198">
        <f t="shared" si="5"/>
        <v>0</v>
      </c>
    </row>
    <row r="97" spans="1:44" s="161" customFormat="1" ht="138" hidden="1" x14ac:dyDescent="0.3">
      <c r="A97" s="165">
        <v>96</v>
      </c>
      <c r="B97" s="61" t="s">
        <v>30</v>
      </c>
      <c r="C97" s="61" t="s">
        <v>30</v>
      </c>
      <c r="D97" s="61" t="s">
        <v>41</v>
      </c>
      <c r="E97" s="102" t="s">
        <v>880</v>
      </c>
      <c r="F97" s="231" t="s">
        <v>387</v>
      </c>
      <c r="G97" s="94">
        <v>58</v>
      </c>
      <c r="H97" s="85">
        <v>44252</v>
      </c>
      <c r="I97" s="85">
        <v>47118</v>
      </c>
      <c r="J97" s="85">
        <v>45383</v>
      </c>
      <c r="K97" s="85">
        <v>45473</v>
      </c>
      <c r="L97" s="140" t="s">
        <v>295</v>
      </c>
      <c r="M97" s="179" t="s">
        <v>386</v>
      </c>
      <c r="N97" s="61" t="s">
        <v>42</v>
      </c>
      <c r="O97" s="178">
        <v>45497</v>
      </c>
      <c r="P97" s="61" t="s">
        <v>2</v>
      </c>
      <c r="Q97" s="61" t="s">
        <v>168</v>
      </c>
      <c r="R97" s="61"/>
      <c r="S97" s="318">
        <v>40577.599999999999</v>
      </c>
      <c r="T97" s="181"/>
      <c r="U97" s="61" t="s">
        <v>38</v>
      </c>
      <c r="V97" s="61" t="s">
        <v>27</v>
      </c>
      <c r="W97" s="165"/>
      <c r="X97" s="199"/>
      <c r="Y97" s="199"/>
      <c r="Z97" s="202"/>
      <c r="AA97" s="199"/>
      <c r="AB97" s="199"/>
      <c r="AC97" s="199">
        <v>40577.599999999999</v>
      </c>
      <c r="AD97" s="199"/>
      <c r="AE97" s="199"/>
      <c r="AF97" s="199"/>
      <c r="AG97" s="199"/>
      <c r="AH97" s="199"/>
      <c r="AI97" s="199"/>
      <c r="AJ97" s="199"/>
      <c r="AK97" s="198">
        <f t="shared" si="6"/>
        <v>40577.599999999999</v>
      </c>
      <c r="AL97" s="198">
        <f t="shared" si="5"/>
        <v>0</v>
      </c>
    </row>
    <row r="98" spans="1:44" s="161" customFormat="1" ht="69" hidden="1" x14ac:dyDescent="0.3">
      <c r="A98" s="165">
        <v>97</v>
      </c>
      <c r="B98" s="58" t="s">
        <v>185</v>
      </c>
      <c r="C98" s="58" t="s">
        <v>185</v>
      </c>
      <c r="D98" s="58" t="s">
        <v>141</v>
      </c>
      <c r="E98" s="58" t="s">
        <v>933</v>
      </c>
      <c r="F98" s="24" t="s">
        <v>402</v>
      </c>
      <c r="G98" s="59">
        <v>64</v>
      </c>
      <c r="H98" s="107">
        <v>45170</v>
      </c>
      <c r="I98" s="107">
        <v>46265</v>
      </c>
      <c r="J98" s="107">
        <v>44044</v>
      </c>
      <c r="K98" s="107">
        <v>44408</v>
      </c>
      <c r="L98" s="59" t="s">
        <v>289</v>
      </c>
      <c r="M98" s="179" t="s">
        <v>401</v>
      </c>
      <c r="N98" s="58" t="s">
        <v>19</v>
      </c>
      <c r="O98" s="176">
        <v>45498</v>
      </c>
      <c r="P98" s="58" t="s">
        <v>101</v>
      </c>
      <c r="Q98" s="58"/>
      <c r="R98" s="58"/>
      <c r="S98" s="181">
        <v>56.22</v>
      </c>
      <c r="T98" s="181"/>
      <c r="U98" s="58" t="s">
        <v>35</v>
      </c>
      <c r="V98" s="58" t="s">
        <v>27</v>
      </c>
      <c r="X98" s="198"/>
      <c r="Y98" s="198"/>
      <c r="Z98" s="198"/>
      <c r="AA98" s="198"/>
      <c r="AB98" s="198"/>
      <c r="AC98" s="198"/>
      <c r="AD98" s="198">
        <v>56.22</v>
      </c>
      <c r="AE98" s="198"/>
      <c r="AF98" s="198"/>
      <c r="AG98" s="198"/>
      <c r="AH98" s="198"/>
      <c r="AI98" s="198"/>
      <c r="AJ98" s="198"/>
      <c r="AK98" s="198">
        <f t="shared" si="6"/>
        <v>56.22</v>
      </c>
      <c r="AL98" s="198">
        <f t="shared" ref="AL98:AL129" si="7">AK98-S98</f>
        <v>0</v>
      </c>
    </row>
    <row r="99" spans="1:44" s="161" customFormat="1" ht="55.2" hidden="1" x14ac:dyDescent="0.3">
      <c r="A99" s="165">
        <v>98</v>
      </c>
      <c r="B99" s="61" t="s">
        <v>30</v>
      </c>
      <c r="C99" s="61" t="s">
        <v>30</v>
      </c>
      <c r="D99" s="109" t="s">
        <v>225</v>
      </c>
      <c r="E99" s="102" t="s">
        <v>874</v>
      </c>
      <c r="F99" s="231" t="s">
        <v>1147</v>
      </c>
      <c r="G99" s="94">
        <v>175</v>
      </c>
      <c r="H99" s="85">
        <v>42061</v>
      </c>
      <c r="I99" s="85">
        <v>46446</v>
      </c>
      <c r="J99" s="85">
        <v>45383</v>
      </c>
      <c r="K99" s="85">
        <v>45473</v>
      </c>
      <c r="L99" s="94" t="s">
        <v>295</v>
      </c>
      <c r="M99" s="184" t="s">
        <v>380</v>
      </c>
      <c r="N99" s="61" t="s">
        <v>5</v>
      </c>
      <c r="O99" s="178">
        <v>45499</v>
      </c>
      <c r="P99" s="61" t="s">
        <v>2</v>
      </c>
      <c r="Q99" s="61" t="s">
        <v>168</v>
      </c>
      <c r="R99" s="61"/>
      <c r="S99" s="318">
        <v>22000</v>
      </c>
      <c r="T99" s="181"/>
      <c r="U99" s="61"/>
      <c r="V99" s="109"/>
      <c r="W99" s="155"/>
      <c r="X99" s="199"/>
      <c r="Y99" s="199"/>
      <c r="Z99" s="199"/>
      <c r="AA99" s="199"/>
      <c r="AB99" s="199"/>
      <c r="AC99" s="199">
        <v>13000</v>
      </c>
      <c r="AD99" s="199">
        <v>9000</v>
      </c>
      <c r="AE99" s="199"/>
      <c r="AF99" s="199"/>
      <c r="AG99" s="199"/>
      <c r="AH99" s="199"/>
      <c r="AI99" s="199"/>
      <c r="AJ99" s="199"/>
      <c r="AK99" s="198">
        <f t="shared" si="6"/>
        <v>22000</v>
      </c>
      <c r="AL99" s="198">
        <f t="shared" si="7"/>
        <v>0</v>
      </c>
      <c r="AM99" s="165"/>
      <c r="AN99" s="165"/>
      <c r="AO99" s="165"/>
      <c r="AP99" s="165"/>
      <c r="AQ99" s="165"/>
      <c r="AR99" s="165"/>
    </row>
    <row r="100" spans="1:44" s="161" customFormat="1" ht="13.8" hidden="1" x14ac:dyDescent="0.3">
      <c r="A100" s="165">
        <v>99</v>
      </c>
      <c r="B100" s="61" t="s">
        <v>30</v>
      </c>
      <c r="C100" s="61" t="s">
        <v>30</v>
      </c>
      <c r="D100" s="131" t="s">
        <v>39</v>
      </c>
      <c r="E100" s="60" t="s">
        <v>948</v>
      </c>
      <c r="F100" s="60" t="s">
        <v>973</v>
      </c>
      <c r="G100" s="60" t="s">
        <v>973</v>
      </c>
      <c r="H100" s="193"/>
      <c r="I100" s="193"/>
      <c r="J100" s="85">
        <v>45383</v>
      </c>
      <c r="K100" s="85">
        <v>45473</v>
      </c>
      <c r="L100" s="94" t="s">
        <v>295</v>
      </c>
      <c r="M100" s="230"/>
      <c r="N100" s="146" t="s">
        <v>5</v>
      </c>
      <c r="O100" s="178">
        <v>45501</v>
      </c>
      <c r="P100" s="61" t="s">
        <v>2</v>
      </c>
      <c r="Q100" s="61" t="s">
        <v>168</v>
      </c>
      <c r="R100" s="61"/>
      <c r="S100" s="318">
        <v>63000</v>
      </c>
      <c r="T100" s="181"/>
      <c r="U100" s="61" t="s">
        <v>38</v>
      </c>
      <c r="V100" s="61" t="s">
        <v>27</v>
      </c>
      <c r="W100" s="149"/>
      <c r="X100" s="202"/>
      <c r="Y100" s="202"/>
      <c r="Z100" s="202"/>
      <c r="AA100" s="199"/>
      <c r="AB100" s="199"/>
      <c r="AC100" s="199">
        <v>63000</v>
      </c>
      <c r="AD100" s="199"/>
      <c r="AE100" s="199"/>
      <c r="AF100" s="199"/>
      <c r="AG100" s="199"/>
      <c r="AH100" s="199"/>
      <c r="AI100" s="199"/>
      <c r="AJ100" s="199"/>
      <c r="AK100" s="198">
        <f t="shared" si="6"/>
        <v>63000</v>
      </c>
      <c r="AL100" s="198">
        <f t="shared" si="7"/>
        <v>0</v>
      </c>
    </row>
    <row r="101" spans="1:44" s="165" customFormat="1" ht="193.2" hidden="1" x14ac:dyDescent="0.3">
      <c r="A101" s="165">
        <v>100</v>
      </c>
      <c r="B101" s="58" t="s">
        <v>103</v>
      </c>
      <c r="C101" s="58" t="s">
        <v>103</v>
      </c>
      <c r="D101" s="58" t="s">
        <v>182</v>
      </c>
      <c r="E101" s="109" t="s">
        <v>869</v>
      </c>
      <c r="F101" s="231" t="s">
        <v>974</v>
      </c>
      <c r="G101" s="94">
        <v>41</v>
      </c>
      <c r="H101" s="85">
        <v>44901</v>
      </c>
      <c r="I101" s="85">
        <v>46721</v>
      </c>
      <c r="J101" s="107">
        <v>45383</v>
      </c>
      <c r="K101" s="107">
        <v>45473</v>
      </c>
      <c r="L101" s="59" t="s">
        <v>295</v>
      </c>
      <c r="M101" s="191" t="s">
        <v>353</v>
      </c>
      <c r="N101" s="58" t="s">
        <v>1</v>
      </c>
      <c r="O101" s="176">
        <v>45502</v>
      </c>
      <c r="P101" s="58" t="s">
        <v>101</v>
      </c>
      <c r="Q101" s="58"/>
      <c r="R101" s="58"/>
      <c r="S101" s="181">
        <v>4052.53</v>
      </c>
      <c r="T101" s="181">
        <v>4052.53</v>
      </c>
      <c r="U101" s="58" t="s">
        <v>35</v>
      </c>
      <c r="V101" s="58" t="s">
        <v>27</v>
      </c>
      <c r="W101" s="166"/>
      <c r="X101" s="198">
        <v>279.77</v>
      </c>
      <c r="Y101" s="198"/>
      <c r="Z101" s="198"/>
      <c r="AA101" s="198"/>
      <c r="AB101" s="198">
        <f>1.83+1.83</f>
        <v>3.66</v>
      </c>
      <c r="AC101" s="198">
        <v>2186.0300000000002</v>
      </c>
      <c r="AD101" s="198">
        <v>741.75</v>
      </c>
      <c r="AE101" s="198"/>
      <c r="AF101" s="198"/>
      <c r="AG101" s="198">
        <v>768.18</v>
      </c>
      <c r="AH101" s="198"/>
      <c r="AI101" s="198">
        <v>73.14</v>
      </c>
      <c r="AJ101" s="198"/>
      <c r="AK101" s="198">
        <f t="shared" si="6"/>
        <v>4052.5299999999997</v>
      </c>
      <c r="AL101" s="198">
        <f t="shared" si="7"/>
        <v>0</v>
      </c>
      <c r="AM101" s="161"/>
      <c r="AN101" s="161"/>
      <c r="AO101" s="161"/>
      <c r="AP101" s="161"/>
      <c r="AQ101" s="161"/>
      <c r="AR101" s="161"/>
    </row>
    <row r="102" spans="1:44" s="165" customFormat="1" ht="55.2" hidden="1" x14ac:dyDescent="0.3">
      <c r="A102" s="165">
        <v>101</v>
      </c>
      <c r="B102" s="58" t="s">
        <v>139</v>
      </c>
      <c r="C102" s="58" t="s">
        <v>139</v>
      </c>
      <c r="D102" s="131" t="s">
        <v>140</v>
      </c>
      <c r="E102" s="131" t="s">
        <v>940</v>
      </c>
      <c r="F102" s="131" t="s">
        <v>1012</v>
      </c>
      <c r="G102" s="59">
        <v>247</v>
      </c>
      <c r="H102" s="107">
        <v>45383</v>
      </c>
      <c r="I102" s="107">
        <v>46477</v>
      </c>
      <c r="J102" s="107">
        <v>45292</v>
      </c>
      <c r="K102" s="107">
        <v>45657</v>
      </c>
      <c r="L102" s="59" t="s">
        <v>289</v>
      </c>
      <c r="M102" s="179" t="s">
        <v>939</v>
      </c>
      <c r="N102" s="157"/>
      <c r="O102" s="176">
        <v>45503</v>
      </c>
      <c r="P102" s="58" t="s">
        <v>98</v>
      </c>
      <c r="Q102" s="58"/>
      <c r="R102" s="58"/>
      <c r="S102" s="181">
        <v>31338</v>
      </c>
      <c r="T102" s="181"/>
      <c r="U102" s="58" t="s">
        <v>35</v>
      </c>
      <c r="V102" s="58" t="s">
        <v>27</v>
      </c>
      <c r="W102" s="161" t="s">
        <v>938</v>
      </c>
      <c r="X102" s="198"/>
      <c r="Y102" s="198"/>
      <c r="Z102" s="198"/>
      <c r="AA102" s="198"/>
      <c r="AB102" s="198"/>
      <c r="AC102" s="198"/>
      <c r="AD102" s="198"/>
      <c r="AE102" s="198">
        <v>31338</v>
      </c>
      <c r="AF102" s="198"/>
      <c r="AG102" s="198"/>
      <c r="AH102" s="198"/>
      <c r="AI102" s="198"/>
      <c r="AJ102" s="198"/>
      <c r="AK102" s="198">
        <f t="shared" si="6"/>
        <v>31338</v>
      </c>
      <c r="AL102" s="198">
        <f t="shared" si="7"/>
        <v>0</v>
      </c>
      <c r="AM102" s="161"/>
      <c r="AN102" s="161"/>
      <c r="AO102" s="161"/>
      <c r="AP102" s="161"/>
      <c r="AQ102" s="161"/>
      <c r="AR102" s="161"/>
    </row>
    <row r="103" spans="1:44" s="161" customFormat="1" ht="165.6" x14ac:dyDescent="0.3">
      <c r="A103" s="165">
        <v>102</v>
      </c>
      <c r="B103" s="61" t="s">
        <v>108</v>
      </c>
      <c r="C103" s="58" t="s">
        <v>108</v>
      </c>
      <c r="D103" s="58" t="s">
        <v>144</v>
      </c>
      <c r="E103" s="163" t="s">
        <v>877</v>
      </c>
      <c r="F103" s="231" t="s">
        <v>408</v>
      </c>
      <c r="G103" s="94">
        <v>68</v>
      </c>
      <c r="H103" s="85">
        <v>44927</v>
      </c>
      <c r="I103" s="85">
        <v>46022</v>
      </c>
      <c r="J103" s="107">
        <v>45292</v>
      </c>
      <c r="K103" s="107">
        <v>45473</v>
      </c>
      <c r="L103" s="59" t="s">
        <v>872</v>
      </c>
      <c r="M103" s="95" t="s">
        <v>407</v>
      </c>
      <c r="N103" s="58" t="s">
        <v>1</v>
      </c>
      <c r="O103" s="176">
        <v>45504</v>
      </c>
      <c r="P103" s="58" t="s">
        <v>101</v>
      </c>
      <c r="Q103" s="58"/>
      <c r="R103" s="58"/>
      <c r="S103" s="181">
        <v>203700.17</v>
      </c>
      <c r="T103" s="181"/>
      <c r="U103" s="58" t="s">
        <v>38</v>
      </c>
      <c r="V103" s="158"/>
      <c r="X103" s="198">
        <f>2239.83+6946.23+471.1</f>
        <v>9657.16</v>
      </c>
      <c r="Y103" s="198">
        <f>5.34+52.94</f>
        <v>58.28</v>
      </c>
      <c r="Z103" s="198"/>
      <c r="AA103" s="198"/>
      <c r="AB103" s="198">
        <f>27.01+91.81+56.96+15.47+23.25+7.75+194.72+46.4+1157.72</f>
        <v>1621.0900000000001</v>
      </c>
      <c r="AC103" s="198">
        <f>2431.53+85659.37+536.23+388.49+101.34+428.94+255.54+7874.49</f>
        <v>97675.93</v>
      </c>
      <c r="AD103" s="198">
        <f>15480.78+76055.34</f>
        <v>91536.12</v>
      </c>
      <c r="AE103" s="198"/>
      <c r="AF103" s="198">
        <f>16.38+79.89+760.13</f>
        <v>856.4</v>
      </c>
      <c r="AG103" s="198"/>
      <c r="AH103" s="198">
        <f>24.64+53.43</f>
        <v>78.069999999999993</v>
      </c>
      <c r="AI103" s="198">
        <f>75.95+2141.17</f>
        <v>2217.12</v>
      </c>
      <c r="AJ103" s="198"/>
      <c r="AK103" s="198">
        <f t="shared" si="6"/>
        <v>203700.16999999998</v>
      </c>
      <c r="AL103" s="198">
        <f t="shared" si="7"/>
        <v>0</v>
      </c>
    </row>
    <row r="104" spans="1:44" s="161" customFormat="1" ht="27.6" x14ac:dyDescent="0.3">
      <c r="A104" s="165">
        <v>103</v>
      </c>
      <c r="B104" s="61" t="s">
        <v>108</v>
      </c>
      <c r="C104" s="61" t="s">
        <v>108</v>
      </c>
      <c r="D104" s="61" t="s">
        <v>145</v>
      </c>
      <c r="E104" s="61" t="s">
        <v>947</v>
      </c>
      <c r="F104" s="61" t="s">
        <v>1008</v>
      </c>
      <c r="G104" s="59">
        <v>152</v>
      </c>
      <c r="H104" s="107">
        <v>45078</v>
      </c>
      <c r="I104" s="141">
        <v>45821</v>
      </c>
      <c r="J104" s="107">
        <v>45078</v>
      </c>
      <c r="K104" s="107">
        <v>45443</v>
      </c>
      <c r="L104" s="59" t="s">
        <v>289</v>
      </c>
      <c r="M104" s="179" t="s">
        <v>946</v>
      </c>
      <c r="N104" s="61" t="s">
        <v>1</v>
      </c>
      <c r="O104" s="178">
        <v>45504</v>
      </c>
      <c r="P104" s="61" t="s">
        <v>101</v>
      </c>
      <c r="Q104" s="61"/>
      <c r="R104" s="61"/>
      <c r="S104" s="181">
        <v>102140.7</v>
      </c>
      <c r="T104" s="181">
        <v>102141</v>
      </c>
      <c r="U104" s="61" t="s">
        <v>38</v>
      </c>
      <c r="V104" s="167"/>
      <c r="W104" s="155" t="s">
        <v>964</v>
      </c>
      <c r="X104" s="199">
        <v>4946.7</v>
      </c>
      <c r="Y104" s="199">
        <v>550</v>
      </c>
      <c r="Z104" s="199"/>
      <c r="AA104" s="199">
        <v>6247.6</v>
      </c>
      <c r="AB104" s="199">
        <v>860</v>
      </c>
      <c r="AC104" s="199">
        <f>45577.6+40</f>
        <v>45617.599999999999</v>
      </c>
      <c r="AD104" s="199">
        <v>12308.5</v>
      </c>
      <c r="AE104" s="199">
        <v>4659</v>
      </c>
      <c r="AF104" s="199">
        <v>2759.2</v>
      </c>
      <c r="AG104" s="199">
        <v>12280.1</v>
      </c>
      <c r="AH104" s="199">
        <v>30</v>
      </c>
      <c r="AI104" s="199">
        <v>11460</v>
      </c>
      <c r="AJ104" s="199">
        <v>422</v>
      </c>
      <c r="AK104" s="198">
        <f t="shared" si="6"/>
        <v>102140.7</v>
      </c>
      <c r="AL104" s="198">
        <f t="shared" si="7"/>
        <v>0</v>
      </c>
      <c r="AM104" s="165"/>
      <c r="AN104" s="165"/>
      <c r="AO104" s="165"/>
      <c r="AP104" s="165"/>
      <c r="AQ104" s="165"/>
      <c r="AR104" s="165"/>
    </row>
    <row r="105" spans="1:44" s="161" customFormat="1" ht="55.2" hidden="1" x14ac:dyDescent="0.3">
      <c r="A105" s="165">
        <v>104</v>
      </c>
      <c r="B105" s="61" t="s">
        <v>149</v>
      </c>
      <c r="C105" s="61" t="s">
        <v>152</v>
      </c>
      <c r="D105" s="61" t="s">
        <v>250</v>
      </c>
      <c r="E105" s="109" t="s">
        <v>928</v>
      </c>
      <c r="F105" s="109" t="s">
        <v>973</v>
      </c>
      <c r="G105" s="59">
        <v>30</v>
      </c>
      <c r="H105" s="85">
        <v>44742</v>
      </c>
      <c r="I105" s="85">
        <v>47422</v>
      </c>
      <c r="J105" s="107">
        <v>44927</v>
      </c>
      <c r="K105" s="107">
        <v>45291</v>
      </c>
      <c r="L105" s="59" t="s">
        <v>289</v>
      </c>
      <c r="M105" s="179" t="s">
        <v>282</v>
      </c>
      <c r="N105" s="146" t="s">
        <v>259</v>
      </c>
      <c r="O105" s="178">
        <v>45504</v>
      </c>
      <c r="P105" s="61" t="s">
        <v>92</v>
      </c>
      <c r="Q105" s="61"/>
      <c r="R105" s="61"/>
      <c r="S105" s="181">
        <f>145000 + 5000</f>
        <v>150000</v>
      </c>
      <c r="T105" s="181">
        <v>150000</v>
      </c>
      <c r="U105" s="61" t="s">
        <v>233</v>
      </c>
      <c r="V105" s="167"/>
      <c r="W105" s="155"/>
      <c r="X105" s="199">
        <f>3654.4+953.31+408.24</f>
        <v>5015.95</v>
      </c>
      <c r="Y105" s="199">
        <v>49187.59</v>
      </c>
      <c r="Z105" s="199"/>
      <c r="AA105" s="199">
        <v>3503.22</v>
      </c>
      <c r="AB105" s="201">
        <v>2354.48</v>
      </c>
      <c r="AC105" s="199">
        <f>55400.83+8898.31+1019.28+9.87</f>
        <v>65328.29</v>
      </c>
      <c r="AD105" s="199">
        <v>7308.01</v>
      </c>
      <c r="AE105" s="199"/>
      <c r="AF105" s="199">
        <v>3712.59</v>
      </c>
      <c r="AG105" s="199">
        <v>11328.93</v>
      </c>
      <c r="AH105" s="199">
        <v>2260.94</v>
      </c>
      <c r="AI105" s="199"/>
      <c r="AJ105" s="199"/>
      <c r="AK105" s="198">
        <f t="shared" si="6"/>
        <v>150000</v>
      </c>
      <c r="AL105" s="198">
        <f t="shared" si="7"/>
        <v>0</v>
      </c>
      <c r="AM105" s="165"/>
      <c r="AN105" s="165"/>
      <c r="AO105" s="165"/>
      <c r="AP105" s="165"/>
      <c r="AQ105" s="165"/>
      <c r="AR105" s="165"/>
    </row>
    <row r="106" spans="1:44" s="161" customFormat="1" ht="124.2" hidden="1" x14ac:dyDescent="0.3">
      <c r="A106" s="165">
        <v>105</v>
      </c>
      <c r="B106" s="61" t="s">
        <v>0</v>
      </c>
      <c r="C106" s="61" t="s">
        <v>0</v>
      </c>
      <c r="D106" s="61" t="s">
        <v>37</v>
      </c>
      <c r="E106" s="102" t="s">
        <v>881</v>
      </c>
      <c r="F106" s="231" t="s">
        <v>438</v>
      </c>
      <c r="G106" s="94">
        <v>88</v>
      </c>
      <c r="H106" s="85">
        <v>42591</v>
      </c>
      <c r="I106" s="85">
        <v>45961</v>
      </c>
      <c r="J106" s="107">
        <v>45323</v>
      </c>
      <c r="K106" s="107">
        <v>45412</v>
      </c>
      <c r="L106" s="59" t="s">
        <v>295</v>
      </c>
      <c r="M106" s="179" t="s">
        <v>437</v>
      </c>
      <c r="N106" s="61" t="s">
        <v>88</v>
      </c>
      <c r="O106" s="178">
        <v>45506</v>
      </c>
      <c r="P106" s="61" t="s">
        <v>2</v>
      </c>
      <c r="Q106" s="61" t="s">
        <v>166</v>
      </c>
      <c r="R106" s="61"/>
      <c r="S106" s="316">
        <v>56190</v>
      </c>
      <c r="T106" s="212"/>
      <c r="U106" s="61" t="s">
        <v>38</v>
      </c>
      <c r="V106" s="61" t="s">
        <v>27</v>
      </c>
      <c r="W106" s="147"/>
      <c r="X106" s="202"/>
      <c r="Y106" s="202"/>
      <c r="Z106" s="202"/>
      <c r="AA106" s="199"/>
      <c r="AB106" s="199"/>
      <c r="AC106" s="199">
        <v>44695</v>
      </c>
      <c r="AD106" s="199">
        <v>11495</v>
      </c>
      <c r="AE106" s="199"/>
      <c r="AF106" s="199"/>
      <c r="AG106" s="199"/>
      <c r="AH106" s="199"/>
      <c r="AI106" s="199"/>
      <c r="AJ106" s="199"/>
      <c r="AK106" s="198">
        <f t="shared" si="6"/>
        <v>56190</v>
      </c>
      <c r="AL106" s="198">
        <f t="shared" si="7"/>
        <v>0</v>
      </c>
    </row>
    <row r="107" spans="1:44" s="161" customFormat="1" ht="138" hidden="1" x14ac:dyDescent="0.3">
      <c r="A107" s="165">
        <v>106</v>
      </c>
      <c r="B107" s="58" t="s">
        <v>30</v>
      </c>
      <c r="C107" s="58" t="s">
        <v>30</v>
      </c>
      <c r="D107" s="102" t="s">
        <v>226</v>
      </c>
      <c r="E107" s="102" t="s">
        <v>874</v>
      </c>
      <c r="F107" s="102" t="s">
        <v>981</v>
      </c>
      <c r="G107" s="94">
        <v>244</v>
      </c>
      <c r="H107" s="85">
        <v>42061</v>
      </c>
      <c r="I107" s="85">
        <v>46446</v>
      </c>
      <c r="J107" s="85">
        <v>45383</v>
      </c>
      <c r="K107" s="85">
        <v>45473</v>
      </c>
      <c r="L107" s="94" t="s">
        <v>295</v>
      </c>
      <c r="M107" s="179" t="s">
        <v>380</v>
      </c>
      <c r="N107" s="58" t="s">
        <v>93</v>
      </c>
      <c r="O107" s="178">
        <v>45509</v>
      </c>
      <c r="P107" s="58" t="s">
        <v>2</v>
      </c>
      <c r="Q107" s="58" t="s">
        <v>168</v>
      </c>
      <c r="R107" s="58"/>
      <c r="S107" s="318">
        <v>49500</v>
      </c>
      <c r="T107" s="212"/>
      <c r="U107" s="58"/>
      <c r="V107" s="102"/>
      <c r="W107" s="165"/>
      <c r="X107" s="198"/>
      <c r="Y107" s="198"/>
      <c r="Z107" s="198"/>
      <c r="AA107" s="198"/>
      <c r="AB107" s="198"/>
      <c r="AC107" s="198">
        <v>49500</v>
      </c>
      <c r="AD107" s="198"/>
      <c r="AE107" s="198"/>
      <c r="AF107" s="198"/>
      <c r="AG107" s="198"/>
      <c r="AH107" s="198"/>
      <c r="AI107" s="198"/>
      <c r="AJ107" s="198"/>
      <c r="AK107" s="198">
        <f t="shared" si="6"/>
        <v>49500</v>
      </c>
      <c r="AL107" s="198">
        <f t="shared" si="7"/>
        <v>0</v>
      </c>
    </row>
    <row r="108" spans="1:44" s="161" customFormat="1" ht="138" hidden="1" x14ac:dyDescent="0.3">
      <c r="A108" s="165">
        <v>107</v>
      </c>
      <c r="B108" s="58" t="s">
        <v>10</v>
      </c>
      <c r="C108" s="58" t="s">
        <v>10</v>
      </c>
      <c r="D108" s="58" t="s">
        <v>906</v>
      </c>
      <c r="E108" s="102" t="s">
        <v>875</v>
      </c>
      <c r="F108" s="102" t="s">
        <v>982</v>
      </c>
      <c r="G108" s="94">
        <v>101</v>
      </c>
      <c r="H108" s="85">
        <v>42881</v>
      </c>
      <c r="I108" s="85">
        <v>46112</v>
      </c>
      <c r="J108" s="85">
        <v>45383</v>
      </c>
      <c r="K108" s="85">
        <v>45473</v>
      </c>
      <c r="L108" s="94" t="s">
        <v>295</v>
      </c>
      <c r="M108" s="174" t="s">
        <v>475</v>
      </c>
      <c r="N108" s="58" t="s">
        <v>1</v>
      </c>
      <c r="O108" s="176">
        <v>45519</v>
      </c>
      <c r="P108" s="58" t="s">
        <v>2</v>
      </c>
      <c r="Q108" s="58" t="s">
        <v>168</v>
      </c>
      <c r="R108" s="58"/>
      <c r="S108" s="181">
        <v>269500</v>
      </c>
      <c r="T108" s="181">
        <v>269500</v>
      </c>
      <c r="U108" s="58" t="s">
        <v>38</v>
      </c>
      <c r="V108" s="158"/>
      <c r="W108" s="159"/>
      <c r="X108" s="200"/>
      <c r="Y108" s="200"/>
      <c r="Z108" s="200"/>
      <c r="AA108" s="198"/>
      <c r="AB108" s="198"/>
      <c r="AC108" s="198">
        <v>269500</v>
      </c>
      <c r="AD108" s="198"/>
      <c r="AE108" s="198"/>
      <c r="AF108" s="198"/>
      <c r="AG108" s="198"/>
      <c r="AH108" s="198"/>
      <c r="AI108" s="198"/>
      <c r="AJ108" s="198"/>
      <c r="AK108" s="198">
        <f t="shared" si="6"/>
        <v>269500</v>
      </c>
      <c r="AL108" s="198">
        <f t="shared" si="7"/>
        <v>0</v>
      </c>
    </row>
    <row r="109" spans="1:44" s="161" customFormat="1" ht="13.8" hidden="1" x14ac:dyDescent="0.3">
      <c r="A109" s="165">
        <v>108</v>
      </c>
      <c r="B109" s="61" t="s">
        <v>4</v>
      </c>
      <c r="C109" s="61" t="s">
        <v>4</v>
      </c>
      <c r="D109" s="61" t="s">
        <v>95</v>
      </c>
      <c r="E109" s="58" t="s">
        <v>904</v>
      </c>
      <c r="F109" s="138" t="s">
        <v>1006</v>
      </c>
      <c r="G109" s="59">
        <v>124</v>
      </c>
      <c r="H109" s="107">
        <v>42423</v>
      </c>
      <c r="I109" s="107">
        <v>46022</v>
      </c>
      <c r="J109" s="107">
        <v>45292</v>
      </c>
      <c r="K109" s="107">
        <v>45382</v>
      </c>
      <c r="L109" s="144" t="s">
        <v>295</v>
      </c>
      <c r="M109" s="174" t="s">
        <v>529</v>
      </c>
      <c r="N109" s="61" t="s">
        <v>5</v>
      </c>
      <c r="O109" s="178">
        <v>45519</v>
      </c>
      <c r="P109" s="61" t="s">
        <v>2</v>
      </c>
      <c r="Q109" s="61" t="s">
        <v>680</v>
      </c>
      <c r="R109" s="61"/>
      <c r="S109" s="211">
        <v>3300</v>
      </c>
      <c r="T109" s="214">
        <v>7500</v>
      </c>
      <c r="U109" s="61" t="s">
        <v>38</v>
      </c>
      <c r="V109" s="61"/>
      <c r="W109" s="147"/>
      <c r="X109" s="202"/>
      <c r="Y109" s="202"/>
      <c r="Z109" s="202"/>
      <c r="AA109" s="199"/>
      <c r="AB109" s="199"/>
      <c r="AC109" s="199">
        <v>2100</v>
      </c>
      <c r="AD109" s="199">
        <v>450</v>
      </c>
      <c r="AE109" s="199">
        <v>450</v>
      </c>
      <c r="AF109" s="199"/>
      <c r="AG109" s="199">
        <v>300</v>
      </c>
      <c r="AH109" s="199"/>
      <c r="AI109" s="199"/>
      <c r="AJ109" s="199"/>
      <c r="AK109" s="198">
        <f t="shared" si="6"/>
        <v>3300</v>
      </c>
      <c r="AL109" s="198">
        <f t="shared" si="7"/>
        <v>0</v>
      </c>
    </row>
    <row r="110" spans="1:44" s="161" customFormat="1" ht="13.8" hidden="1" x14ac:dyDescent="0.3">
      <c r="A110" s="165">
        <v>109</v>
      </c>
      <c r="B110" s="61" t="s">
        <v>4</v>
      </c>
      <c r="C110" s="61" t="s">
        <v>4</v>
      </c>
      <c r="D110" s="61" t="s">
        <v>590</v>
      </c>
      <c r="E110" s="58" t="s">
        <v>904</v>
      </c>
      <c r="F110" s="138" t="s">
        <v>1006</v>
      </c>
      <c r="G110" s="59">
        <v>124</v>
      </c>
      <c r="H110" s="107">
        <v>42423</v>
      </c>
      <c r="I110" s="107">
        <v>46022</v>
      </c>
      <c r="J110" s="107">
        <v>45383</v>
      </c>
      <c r="K110" s="107">
        <v>45473</v>
      </c>
      <c r="L110" s="144" t="s">
        <v>295</v>
      </c>
      <c r="M110" s="174" t="s">
        <v>529</v>
      </c>
      <c r="N110" s="61" t="s">
        <v>5</v>
      </c>
      <c r="O110" s="178">
        <v>45520</v>
      </c>
      <c r="P110" s="61" t="s">
        <v>2</v>
      </c>
      <c r="Q110" s="61" t="s">
        <v>680</v>
      </c>
      <c r="R110" s="61"/>
      <c r="S110" s="211">
        <v>4200</v>
      </c>
      <c r="T110" s="211">
        <v>7500</v>
      </c>
      <c r="U110" s="61" t="s">
        <v>38</v>
      </c>
      <c r="V110" s="61"/>
      <c r="W110" s="147"/>
      <c r="X110" s="202"/>
      <c r="Y110" s="202"/>
      <c r="Z110" s="202"/>
      <c r="AA110" s="199"/>
      <c r="AB110" s="199"/>
      <c r="AC110" s="199">
        <v>2850</v>
      </c>
      <c r="AD110" s="199">
        <v>1050</v>
      </c>
      <c r="AE110" s="199"/>
      <c r="AF110" s="199"/>
      <c r="AG110" s="199">
        <v>300</v>
      </c>
      <c r="AH110" s="199"/>
      <c r="AI110" s="199"/>
      <c r="AJ110" s="199"/>
      <c r="AK110" s="198">
        <f t="shared" si="6"/>
        <v>4200</v>
      </c>
      <c r="AL110" s="198">
        <f t="shared" si="7"/>
        <v>0</v>
      </c>
    </row>
    <row r="111" spans="1:44" s="165" customFormat="1" ht="41.4" hidden="1" x14ac:dyDescent="0.3">
      <c r="A111" s="165">
        <v>110</v>
      </c>
      <c r="B111" s="58" t="s">
        <v>17</v>
      </c>
      <c r="C111" s="58" t="s">
        <v>17</v>
      </c>
      <c r="D111" s="61" t="s">
        <v>43</v>
      </c>
      <c r="E111" s="102" t="s">
        <v>878</v>
      </c>
      <c r="F111" s="231" t="s">
        <v>306</v>
      </c>
      <c r="G111" s="94">
        <v>12</v>
      </c>
      <c r="H111" s="85">
        <v>41852</v>
      </c>
      <c r="I111" s="85">
        <v>46599</v>
      </c>
      <c r="J111" s="107">
        <v>45318</v>
      </c>
      <c r="K111" s="107">
        <v>45408</v>
      </c>
      <c r="L111" s="59" t="s">
        <v>295</v>
      </c>
      <c r="M111" s="186" t="s">
        <v>305</v>
      </c>
      <c r="N111" s="58" t="s">
        <v>1</v>
      </c>
      <c r="O111" s="176">
        <v>45523</v>
      </c>
      <c r="P111" s="58" t="s">
        <v>2</v>
      </c>
      <c r="Q111" s="58" t="s">
        <v>168</v>
      </c>
      <c r="R111" s="58"/>
      <c r="S111" s="318">
        <v>113191.45</v>
      </c>
      <c r="T111" s="212"/>
      <c r="U111" s="58" t="s">
        <v>38</v>
      </c>
      <c r="V111" s="158"/>
      <c r="W111" s="147"/>
      <c r="X111" s="200"/>
      <c r="Y111" s="200"/>
      <c r="Z111" s="200"/>
      <c r="AA111" s="198"/>
      <c r="AB111" s="198"/>
      <c r="AC111" s="198">
        <v>108459.07</v>
      </c>
      <c r="AD111" s="198">
        <v>4732.38</v>
      </c>
      <c r="AE111" s="198"/>
      <c r="AF111" s="198"/>
      <c r="AG111" s="198"/>
      <c r="AH111" s="198"/>
      <c r="AI111" s="198"/>
      <c r="AJ111" s="198"/>
      <c r="AK111" s="198">
        <f t="shared" si="6"/>
        <v>113191.45000000001</v>
      </c>
      <c r="AL111" s="198">
        <f t="shared" si="7"/>
        <v>0</v>
      </c>
      <c r="AM111" s="161"/>
      <c r="AN111" s="161"/>
      <c r="AO111" s="161"/>
      <c r="AP111" s="161"/>
      <c r="AQ111" s="161"/>
      <c r="AR111" s="161"/>
    </row>
    <row r="112" spans="1:44" s="161" customFormat="1" ht="409.6" hidden="1" x14ac:dyDescent="0.3">
      <c r="A112" s="165">
        <v>111</v>
      </c>
      <c r="B112" s="58" t="s">
        <v>17</v>
      </c>
      <c r="C112" s="58" t="s">
        <v>17</v>
      </c>
      <c r="D112" s="58" t="s">
        <v>44</v>
      </c>
      <c r="E112" s="102" t="s">
        <v>871</v>
      </c>
      <c r="F112" s="231" t="s">
        <v>523</v>
      </c>
      <c r="G112" s="94">
        <v>121</v>
      </c>
      <c r="H112" s="85">
        <v>45505</v>
      </c>
      <c r="I112" s="85">
        <v>46599</v>
      </c>
      <c r="J112" s="107">
        <v>45108</v>
      </c>
      <c r="K112" s="107">
        <v>45291</v>
      </c>
      <c r="L112" s="59" t="s">
        <v>872</v>
      </c>
      <c r="M112" s="186" t="s">
        <v>522</v>
      </c>
      <c r="N112" s="58" t="s">
        <v>1</v>
      </c>
      <c r="O112" s="176">
        <v>45524</v>
      </c>
      <c r="P112" s="58" t="s">
        <v>2</v>
      </c>
      <c r="Q112" s="58" t="s">
        <v>168</v>
      </c>
      <c r="R112" s="58"/>
      <c r="S112" s="316">
        <v>350836</v>
      </c>
      <c r="T112" s="212"/>
      <c r="U112" s="58" t="s">
        <v>38</v>
      </c>
      <c r="V112" s="158"/>
      <c r="W112" s="147"/>
      <c r="X112" s="200">
        <f>2609.58+14838.73</f>
        <v>17448.309999999998</v>
      </c>
      <c r="Y112" s="200">
        <v>551.67999999999995</v>
      </c>
      <c r="Z112" s="200"/>
      <c r="AA112" s="198">
        <f>6366.91+117.5</f>
        <v>6484.41</v>
      </c>
      <c r="AB112" s="198"/>
      <c r="AC112" s="198">
        <f>238613.12+49.38+862+1222.63+642.6</f>
        <v>241389.73</v>
      </c>
      <c r="AD112" s="198">
        <f>52353.12+697.88</f>
        <v>53051</v>
      </c>
      <c r="AE112" s="198">
        <v>7384.61</v>
      </c>
      <c r="AF112" s="198">
        <v>39.08</v>
      </c>
      <c r="AG112" s="198">
        <v>5618.57</v>
      </c>
      <c r="AH112" s="198"/>
      <c r="AI112" s="198">
        <v>18868.61</v>
      </c>
      <c r="AJ112" s="198"/>
      <c r="AK112" s="198">
        <f t="shared" ref="AK112:AK143" si="8">SUM(X112:AJ112)</f>
        <v>350836</v>
      </c>
      <c r="AL112" s="198">
        <f t="shared" si="7"/>
        <v>0</v>
      </c>
    </row>
    <row r="113" spans="1:44" s="165" customFormat="1" ht="27.6" hidden="1" x14ac:dyDescent="0.3">
      <c r="A113" s="165">
        <v>112</v>
      </c>
      <c r="B113" s="58" t="s">
        <v>153</v>
      </c>
      <c r="C113" s="58" t="s">
        <v>153</v>
      </c>
      <c r="D113" s="58" t="s">
        <v>154</v>
      </c>
      <c r="E113" s="58" t="s">
        <v>920</v>
      </c>
      <c r="F113" s="58" t="s">
        <v>1009</v>
      </c>
      <c r="G113" s="59">
        <v>39</v>
      </c>
      <c r="H113" s="107">
        <v>43888</v>
      </c>
      <c r="I113" s="107">
        <v>46079</v>
      </c>
      <c r="J113" s="107">
        <v>44984</v>
      </c>
      <c r="K113" s="107">
        <v>45348</v>
      </c>
      <c r="L113" s="59" t="s">
        <v>289</v>
      </c>
      <c r="M113" s="179" t="s">
        <v>349</v>
      </c>
      <c r="N113" s="58" t="s">
        <v>184</v>
      </c>
      <c r="O113" s="176">
        <v>45525</v>
      </c>
      <c r="P113" s="58" t="s">
        <v>2</v>
      </c>
      <c r="Q113" s="58" t="s">
        <v>681</v>
      </c>
      <c r="R113" s="58"/>
      <c r="S113" s="181">
        <v>127494.63</v>
      </c>
      <c r="T113" s="181">
        <v>151994.63</v>
      </c>
      <c r="U113" s="58" t="s">
        <v>38</v>
      </c>
      <c r="V113" s="158"/>
      <c r="W113" s="147"/>
      <c r="X113" s="198">
        <f>2.88+8069.86</f>
        <v>8072.74</v>
      </c>
      <c r="Y113" s="198"/>
      <c r="Z113" s="198"/>
      <c r="AA113" s="198">
        <v>1675.87</v>
      </c>
      <c r="AB113" s="198">
        <v>223.52</v>
      </c>
      <c r="AC113" s="198">
        <v>67411.66</v>
      </c>
      <c r="AD113" s="198">
        <v>15888.17</v>
      </c>
      <c r="AE113" s="198">
        <f>7163.17+18.01</f>
        <v>7181.18</v>
      </c>
      <c r="AF113" s="198">
        <v>537.62</v>
      </c>
      <c r="AG113" s="198">
        <v>9632.4599999999991</v>
      </c>
      <c r="AH113" s="198"/>
      <c r="AI113" s="198">
        <v>16871.41</v>
      </c>
      <c r="AJ113" s="198"/>
      <c r="AK113" s="198">
        <f t="shared" si="8"/>
        <v>127494.63</v>
      </c>
      <c r="AL113" s="198">
        <f t="shared" si="7"/>
        <v>0</v>
      </c>
    </row>
    <row r="114" spans="1:44" s="165" customFormat="1" ht="27.6" hidden="1" x14ac:dyDescent="0.3">
      <c r="A114" s="165">
        <v>113</v>
      </c>
      <c r="B114" s="58" t="s">
        <v>153</v>
      </c>
      <c r="C114" s="58" t="s">
        <v>153</v>
      </c>
      <c r="D114" s="58" t="s">
        <v>155</v>
      </c>
      <c r="E114" s="58" t="s">
        <v>920</v>
      </c>
      <c r="F114" s="58" t="s">
        <v>1010</v>
      </c>
      <c r="G114" s="59">
        <v>39</v>
      </c>
      <c r="H114" s="107">
        <v>43888</v>
      </c>
      <c r="I114" s="107">
        <v>46079</v>
      </c>
      <c r="J114" s="107">
        <v>44984</v>
      </c>
      <c r="K114" s="107">
        <v>45348</v>
      </c>
      <c r="L114" s="59" t="s">
        <v>289</v>
      </c>
      <c r="M114" s="179" t="s">
        <v>349</v>
      </c>
      <c r="N114" s="58" t="s">
        <v>184</v>
      </c>
      <c r="O114" s="176">
        <v>45525</v>
      </c>
      <c r="P114" s="58" t="s">
        <v>2</v>
      </c>
      <c r="Q114" s="58" t="s">
        <v>680</v>
      </c>
      <c r="R114" s="58"/>
      <c r="S114" s="181">
        <v>24500</v>
      </c>
      <c r="T114" s="181">
        <v>151994.63</v>
      </c>
      <c r="U114" s="58" t="s">
        <v>38</v>
      </c>
      <c r="V114" s="158"/>
      <c r="W114" s="147"/>
      <c r="X114" s="198">
        <v>675</v>
      </c>
      <c r="Y114" s="198"/>
      <c r="Z114" s="198"/>
      <c r="AA114" s="198"/>
      <c r="AB114" s="198"/>
      <c r="AC114" s="198">
        <v>1750</v>
      </c>
      <c r="AD114" s="198">
        <v>1575</v>
      </c>
      <c r="AE114" s="198">
        <v>575</v>
      </c>
      <c r="AF114" s="198"/>
      <c r="AG114" s="198">
        <v>16500</v>
      </c>
      <c r="AH114" s="198"/>
      <c r="AI114" s="198">
        <v>3425</v>
      </c>
      <c r="AJ114" s="198"/>
      <c r="AK114" s="220">
        <f t="shared" si="8"/>
        <v>24500</v>
      </c>
      <c r="AL114" s="198">
        <f t="shared" si="7"/>
        <v>0</v>
      </c>
      <c r="AM114" s="161"/>
      <c r="AO114" s="161"/>
      <c r="AP114" s="161"/>
      <c r="AQ114" s="161"/>
      <c r="AR114" s="161"/>
    </row>
    <row r="115" spans="1:44" s="161" customFormat="1" ht="13.8" hidden="1" x14ac:dyDescent="0.3">
      <c r="A115" s="165">
        <v>114</v>
      </c>
      <c r="B115" s="109" t="s">
        <v>80</v>
      </c>
      <c r="C115" s="109" t="s">
        <v>80</v>
      </c>
      <c r="D115" s="61" t="s">
        <v>176</v>
      </c>
      <c r="E115" s="61" t="s">
        <v>177</v>
      </c>
      <c r="F115" s="61" t="s">
        <v>973</v>
      </c>
      <c r="G115" s="59" t="s">
        <v>879</v>
      </c>
      <c r="H115" s="59"/>
      <c r="I115" s="59"/>
      <c r="J115" s="107">
        <v>45383</v>
      </c>
      <c r="K115" s="107">
        <v>45473</v>
      </c>
      <c r="L115" s="144" t="s">
        <v>295</v>
      </c>
      <c r="M115" s="149"/>
      <c r="N115" s="109" t="s">
        <v>1</v>
      </c>
      <c r="O115" s="175">
        <v>45530</v>
      </c>
      <c r="P115" s="61" t="s">
        <v>92</v>
      </c>
      <c r="Q115" s="109"/>
      <c r="R115" s="109"/>
      <c r="S115" s="181">
        <v>492705</v>
      </c>
      <c r="T115" s="181"/>
      <c r="U115" s="109" t="s">
        <v>38</v>
      </c>
      <c r="V115" s="109"/>
      <c r="W115" s="147"/>
      <c r="X115" s="199">
        <v>59577.01</v>
      </c>
      <c r="Y115" s="199">
        <v>18800.82</v>
      </c>
      <c r="Z115" s="199"/>
      <c r="AA115" s="199">
        <v>21159.52</v>
      </c>
      <c r="AB115" s="199"/>
      <c r="AC115" s="199">
        <v>172378.61</v>
      </c>
      <c r="AD115" s="199">
        <v>44263.22</v>
      </c>
      <c r="AE115" s="199">
        <v>52363.49</v>
      </c>
      <c r="AF115" s="199"/>
      <c r="AG115" s="199">
        <v>54921.48</v>
      </c>
      <c r="AH115" s="199">
        <v>17355.919999999998</v>
      </c>
      <c r="AI115" s="199">
        <v>51884.93</v>
      </c>
      <c r="AJ115" s="199"/>
      <c r="AK115" s="198">
        <f t="shared" si="8"/>
        <v>492704.99999999988</v>
      </c>
      <c r="AL115" s="198">
        <f t="shared" si="7"/>
        <v>0</v>
      </c>
      <c r="AM115" s="165"/>
      <c r="AN115" s="165"/>
      <c r="AO115" s="165"/>
      <c r="AP115" s="165"/>
      <c r="AQ115" s="165"/>
      <c r="AR115" s="165"/>
    </row>
    <row r="116" spans="1:44" s="161" customFormat="1" ht="96.6" hidden="1" x14ac:dyDescent="0.3">
      <c r="A116" s="165">
        <v>115</v>
      </c>
      <c r="B116" s="109" t="s">
        <v>121</v>
      </c>
      <c r="C116" s="109" t="s">
        <v>121</v>
      </c>
      <c r="D116" s="61" t="s">
        <v>183</v>
      </c>
      <c r="E116" s="61" t="s">
        <v>183</v>
      </c>
      <c r="F116" s="24" t="s">
        <v>472</v>
      </c>
      <c r="G116" s="59">
        <v>100</v>
      </c>
      <c r="H116" s="107">
        <v>44967</v>
      </c>
      <c r="I116" s="107">
        <v>46022</v>
      </c>
      <c r="J116" s="107">
        <v>45383</v>
      </c>
      <c r="K116" s="107">
        <v>45473</v>
      </c>
      <c r="L116" s="59" t="s">
        <v>295</v>
      </c>
      <c r="M116" s="61" t="s">
        <v>470</v>
      </c>
      <c r="N116" s="109" t="s">
        <v>1</v>
      </c>
      <c r="O116" s="175">
        <v>45532</v>
      </c>
      <c r="P116" s="61" t="s">
        <v>92</v>
      </c>
      <c r="Q116" s="109"/>
      <c r="R116" s="109"/>
      <c r="S116" s="181">
        <v>7240.7</v>
      </c>
      <c r="T116" s="181"/>
      <c r="U116" s="109" t="s">
        <v>38</v>
      </c>
      <c r="V116" s="109"/>
      <c r="W116" s="147"/>
      <c r="X116" s="199">
        <v>1176.51</v>
      </c>
      <c r="Y116" s="199"/>
      <c r="Z116" s="199"/>
      <c r="AA116" s="199"/>
      <c r="AB116" s="199"/>
      <c r="AC116" s="199">
        <v>5494.99</v>
      </c>
      <c r="AD116" s="199"/>
      <c r="AE116" s="199">
        <v>31.64</v>
      </c>
      <c r="AF116" s="199"/>
      <c r="AG116" s="199">
        <v>537.55999999999995</v>
      </c>
      <c r="AH116" s="199"/>
      <c r="AI116" s="199"/>
      <c r="AJ116" s="199"/>
      <c r="AK116" s="198">
        <f t="shared" si="8"/>
        <v>7240.7000000000007</v>
      </c>
      <c r="AL116" s="198">
        <f t="shared" si="7"/>
        <v>0</v>
      </c>
      <c r="AM116" s="165"/>
      <c r="AN116" s="165"/>
      <c r="AO116" s="165"/>
      <c r="AP116" s="165"/>
      <c r="AQ116" s="165"/>
      <c r="AR116" s="165"/>
    </row>
    <row r="117" spans="1:44" s="161" customFormat="1" ht="55.2" hidden="1" x14ac:dyDescent="0.3">
      <c r="A117" s="165">
        <v>116</v>
      </c>
      <c r="B117" s="58" t="s">
        <v>30</v>
      </c>
      <c r="C117" s="58" t="s">
        <v>30</v>
      </c>
      <c r="D117" s="102" t="s">
        <v>94</v>
      </c>
      <c r="E117" s="102" t="s">
        <v>903</v>
      </c>
      <c r="F117" s="231" t="s">
        <v>384</v>
      </c>
      <c r="G117" s="266" t="s">
        <v>1100</v>
      </c>
      <c r="H117" s="85">
        <v>41992</v>
      </c>
      <c r="I117" s="85">
        <v>46052</v>
      </c>
      <c r="J117" s="85">
        <v>45383</v>
      </c>
      <c r="K117" s="85">
        <v>45473</v>
      </c>
      <c r="L117" s="94" t="s">
        <v>295</v>
      </c>
      <c r="M117" s="179" t="s">
        <v>383</v>
      </c>
      <c r="N117" s="58" t="s">
        <v>5</v>
      </c>
      <c r="O117" s="178">
        <v>45534</v>
      </c>
      <c r="P117" s="58" t="s">
        <v>2</v>
      </c>
      <c r="Q117" s="58" t="s">
        <v>168</v>
      </c>
      <c r="R117" s="58"/>
      <c r="S117" s="318">
        <v>12173.28</v>
      </c>
      <c r="T117" s="181"/>
      <c r="U117" s="58" t="s">
        <v>67</v>
      </c>
      <c r="V117" s="102"/>
      <c r="W117" s="147"/>
      <c r="X117" s="198"/>
      <c r="Y117" s="198"/>
      <c r="Z117" s="198"/>
      <c r="AA117" s="198"/>
      <c r="AB117" s="198"/>
      <c r="AC117" s="198">
        <v>12173.28</v>
      </c>
      <c r="AD117" s="198"/>
      <c r="AE117" s="198"/>
      <c r="AF117" s="198"/>
      <c r="AG117" s="198"/>
      <c r="AH117" s="198"/>
      <c r="AI117" s="198"/>
      <c r="AJ117" s="198"/>
      <c r="AK117" s="198">
        <f t="shared" si="8"/>
        <v>12173.28</v>
      </c>
      <c r="AL117" s="198">
        <f t="shared" si="7"/>
        <v>0</v>
      </c>
    </row>
    <row r="118" spans="1:44" s="161" customFormat="1" ht="110.4" hidden="1" x14ac:dyDescent="0.3">
      <c r="A118" s="165">
        <v>117</v>
      </c>
      <c r="B118" s="58" t="s">
        <v>0</v>
      </c>
      <c r="C118" s="58" t="s">
        <v>0</v>
      </c>
      <c r="D118" s="58" t="s">
        <v>163</v>
      </c>
      <c r="E118" s="102" t="s">
        <v>778</v>
      </c>
      <c r="F118" s="231" t="s">
        <v>429</v>
      </c>
      <c r="G118" s="94">
        <v>541</v>
      </c>
      <c r="H118" s="85">
        <v>44044</v>
      </c>
      <c r="I118" s="85">
        <v>46290</v>
      </c>
      <c r="J118" s="107">
        <v>45383</v>
      </c>
      <c r="K118" s="107">
        <v>45473</v>
      </c>
      <c r="L118" s="144" t="s">
        <v>295</v>
      </c>
      <c r="M118" s="174" t="s">
        <v>428</v>
      </c>
      <c r="N118" s="58" t="s">
        <v>1</v>
      </c>
      <c r="O118" s="176">
        <v>45534</v>
      </c>
      <c r="P118" s="58" t="s">
        <v>2</v>
      </c>
      <c r="Q118" s="58" t="s">
        <v>166</v>
      </c>
      <c r="R118" s="58"/>
      <c r="S118" s="316">
        <v>225546.49</v>
      </c>
      <c r="T118" s="212"/>
      <c r="U118" s="58" t="s">
        <v>38</v>
      </c>
      <c r="V118" s="58"/>
      <c r="W118" s="165"/>
      <c r="X118" s="198"/>
      <c r="Y118" s="198"/>
      <c r="Z118" s="198"/>
      <c r="AA118" s="198">
        <v>201.31</v>
      </c>
      <c r="AB118" s="198"/>
      <c r="AC118" s="198">
        <v>83669.899999999994</v>
      </c>
      <c r="AD118" s="198">
        <v>108021.9</v>
      </c>
      <c r="AE118" s="198">
        <v>3135.27</v>
      </c>
      <c r="AF118" s="198"/>
      <c r="AG118" s="198"/>
      <c r="AH118" s="198"/>
      <c r="AI118" s="198">
        <v>30518.11</v>
      </c>
      <c r="AJ118" s="198"/>
      <c r="AK118" s="198">
        <f t="shared" si="8"/>
        <v>225546.49</v>
      </c>
      <c r="AL118" s="198">
        <f t="shared" si="7"/>
        <v>0</v>
      </c>
    </row>
    <row r="119" spans="1:44" s="161" customFormat="1" ht="13.8" hidden="1" x14ac:dyDescent="0.3">
      <c r="A119" s="165">
        <v>118</v>
      </c>
      <c r="B119" s="61" t="s">
        <v>107</v>
      </c>
      <c r="C119" s="58" t="s">
        <v>107</v>
      </c>
      <c r="D119" s="58" t="s">
        <v>593</v>
      </c>
      <c r="E119" s="58" t="s">
        <v>593</v>
      </c>
      <c r="F119" s="58" t="s">
        <v>973</v>
      </c>
      <c r="G119" s="59" t="s">
        <v>879</v>
      </c>
      <c r="H119" s="59"/>
      <c r="I119" s="59"/>
      <c r="J119" s="59"/>
      <c r="K119" s="59"/>
      <c r="L119" s="144" t="s">
        <v>901</v>
      </c>
      <c r="M119" s="157"/>
      <c r="N119" s="58" t="s">
        <v>1</v>
      </c>
      <c r="O119" s="176">
        <v>45546</v>
      </c>
      <c r="P119" s="58" t="s">
        <v>101</v>
      </c>
      <c r="Q119" s="58"/>
      <c r="R119" s="58"/>
      <c r="S119" s="181">
        <v>344409.96</v>
      </c>
      <c r="T119" s="212"/>
      <c r="U119" s="58" t="s">
        <v>67</v>
      </c>
      <c r="V119" s="58"/>
      <c r="W119" s="165"/>
      <c r="X119" s="198"/>
      <c r="Y119" s="198"/>
      <c r="Z119" s="198"/>
      <c r="AA119" s="198"/>
      <c r="AB119" s="198"/>
      <c r="AC119" s="198">
        <v>344409.96</v>
      </c>
      <c r="AD119" s="198"/>
      <c r="AE119" s="198"/>
      <c r="AF119" s="198"/>
      <c r="AG119" s="198"/>
      <c r="AH119" s="198"/>
      <c r="AI119" s="198"/>
      <c r="AJ119" s="198"/>
      <c r="AK119" s="198">
        <f t="shared" si="8"/>
        <v>344409.96</v>
      </c>
      <c r="AL119" s="198">
        <f t="shared" si="7"/>
        <v>0</v>
      </c>
    </row>
    <row r="120" spans="1:44" s="161" customFormat="1" ht="409.6" hidden="1" x14ac:dyDescent="0.3">
      <c r="A120" s="165">
        <v>120</v>
      </c>
      <c r="B120" s="58" t="s">
        <v>17</v>
      </c>
      <c r="C120" s="58" t="s">
        <v>17</v>
      </c>
      <c r="D120" s="109" t="s">
        <v>83</v>
      </c>
      <c r="E120" s="102" t="s">
        <v>871</v>
      </c>
      <c r="F120" s="231" t="s">
        <v>523</v>
      </c>
      <c r="G120" s="94">
        <v>121</v>
      </c>
      <c r="H120" s="85">
        <v>45505</v>
      </c>
      <c r="I120" s="85">
        <v>46599</v>
      </c>
      <c r="J120" s="85">
        <v>45292</v>
      </c>
      <c r="K120" s="85">
        <v>45473</v>
      </c>
      <c r="L120" s="59" t="s">
        <v>872</v>
      </c>
      <c r="M120" s="179" t="s">
        <v>522</v>
      </c>
      <c r="N120" s="58" t="s">
        <v>1</v>
      </c>
      <c r="O120" s="176">
        <v>45552</v>
      </c>
      <c r="P120" s="58" t="s">
        <v>684</v>
      </c>
      <c r="Q120" s="58"/>
      <c r="R120" s="58"/>
      <c r="S120" s="316">
        <v>240851.35</v>
      </c>
      <c r="T120" s="181">
        <v>458657.25</v>
      </c>
      <c r="U120" s="58" t="s">
        <v>67</v>
      </c>
      <c r="V120" s="102"/>
      <c r="W120" s="160"/>
      <c r="X120" s="198">
        <f>435.94+2651.81</f>
        <v>3087.75</v>
      </c>
      <c r="Y120" s="200">
        <f>225.13+106.25</f>
        <v>331.38</v>
      </c>
      <c r="Z120" s="198"/>
      <c r="AA120" s="198">
        <v>2090.73</v>
      </c>
      <c r="AB120" s="198">
        <v>584.32000000000005</v>
      </c>
      <c r="AC120" s="198">
        <f>98340.8+1112.25+177.2</f>
        <v>99630.25</v>
      </c>
      <c r="AD120" s="198">
        <f>12191.72-95.71</f>
        <v>12096.01</v>
      </c>
      <c r="AE120" s="198">
        <v>2487.25</v>
      </c>
      <c r="AF120" s="198">
        <f>474.2+343.3+244.4</f>
        <v>1061.9000000000001</v>
      </c>
      <c r="AG120" s="198">
        <f>63909.62+180</f>
        <v>64089.62</v>
      </c>
      <c r="AH120" s="198">
        <f>9162.55+158.76</f>
        <v>9321.31</v>
      </c>
      <c r="AI120" s="198">
        <v>46070.83</v>
      </c>
      <c r="AJ120" s="198"/>
      <c r="AK120" s="198">
        <f t="shared" si="8"/>
        <v>240851.34999999998</v>
      </c>
      <c r="AL120" s="198">
        <f t="shared" si="7"/>
        <v>0</v>
      </c>
    </row>
    <row r="121" spans="1:44" s="161" customFormat="1" ht="409.6" hidden="1" x14ac:dyDescent="0.3">
      <c r="A121" s="165">
        <v>121</v>
      </c>
      <c r="B121" s="58" t="s">
        <v>17</v>
      </c>
      <c r="C121" s="58" t="s">
        <v>17</v>
      </c>
      <c r="D121" s="109" t="s">
        <v>84</v>
      </c>
      <c r="E121" s="163" t="s">
        <v>871</v>
      </c>
      <c r="F121" s="231" t="s">
        <v>523</v>
      </c>
      <c r="G121" s="94">
        <v>121</v>
      </c>
      <c r="H121" s="85">
        <v>45505</v>
      </c>
      <c r="I121" s="85">
        <v>46599</v>
      </c>
      <c r="J121" s="85">
        <v>45292</v>
      </c>
      <c r="K121" s="85">
        <v>45473</v>
      </c>
      <c r="L121" s="59" t="s">
        <v>872</v>
      </c>
      <c r="M121" s="174" t="s">
        <v>522</v>
      </c>
      <c r="N121" s="58" t="s">
        <v>1</v>
      </c>
      <c r="O121" s="176">
        <v>45552</v>
      </c>
      <c r="P121" s="58" t="s">
        <v>101</v>
      </c>
      <c r="Q121" s="58"/>
      <c r="R121" s="58"/>
      <c r="S121" s="316">
        <v>217799.17</v>
      </c>
      <c r="T121" s="181">
        <v>458657.25</v>
      </c>
      <c r="U121" s="58" t="s">
        <v>67</v>
      </c>
      <c r="V121" s="102"/>
      <c r="W121" s="160"/>
      <c r="X121" s="198">
        <f>189.12+1096.59+5.04</f>
        <v>1290.75</v>
      </c>
      <c r="Y121" s="198">
        <v>655.7</v>
      </c>
      <c r="Z121" s="198"/>
      <c r="AA121" s="198">
        <v>1983.69</v>
      </c>
      <c r="AB121" s="198"/>
      <c r="AC121" s="198">
        <f>93782.3+276.25+125.74</f>
        <v>94184.290000000008</v>
      </c>
      <c r="AD121" s="198">
        <f>4419.8+806.97</f>
        <v>5226.7700000000004</v>
      </c>
      <c r="AE121" s="198">
        <v>1533.47</v>
      </c>
      <c r="AF121" s="198">
        <v>24.88</v>
      </c>
      <c r="AG121" s="198">
        <f>57343.11+10</f>
        <v>57353.11</v>
      </c>
      <c r="AH121" s="198">
        <v>7486.55</v>
      </c>
      <c r="AI121" s="198">
        <v>48059.96</v>
      </c>
      <c r="AJ121" s="198"/>
      <c r="AK121" s="198">
        <f t="shared" si="8"/>
        <v>217799.17</v>
      </c>
      <c r="AL121" s="198">
        <f t="shared" si="7"/>
        <v>0</v>
      </c>
    </row>
    <row r="122" spans="1:44" s="161" customFormat="1" ht="124.2" hidden="1" x14ac:dyDescent="0.3">
      <c r="A122" s="165">
        <v>122</v>
      </c>
      <c r="B122" s="58" t="s">
        <v>146</v>
      </c>
      <c r="C122" s="58" t="s">
        <v>146</v>
      </c>
      <c r="D122" s="61" t="s">
        <v>147</v>
      </c>
      <c r="E122" s="61" t="s">
        <v>929</v>
      </c>
      <c r="F122" s="24" t="s">
        <v>856</v>
      </c>
      <c r="G122" s="59">
        <v>98</v>
      </c>
      <c r="H122" s="107">
        <v>45047</v>
      </c>
      <c r="I122" s="107">
        <v>46507</v>
      </c>
      <c r="J122" s="107">
        <v>45047</v>
      </c>
      <c r="K122" s="107">
        <v>45412</v>
      </c>
      <c r="L122" s="59" t="s">
        <v>289</v>
      </c>
      <c r="M122" s="179" t="s">
        <v>464</v>
      </c>
      <c r="N122" s="58" t="s">
        <v>148</v>
      </c>
      <c r="O122" s="176">
        <v>45552</v>
      </c>
      <c r="P122" s="58" t="s">
        <v>101</v>
      </c>
      <c r="Q122" s="58"/>
      <c r="R122" s="58"/>
      <c r="S122" s="181">
        <v>744.87</v>
      </c>
      <c r="T122" s="181"/>
      <c r="U122" s="58" t="s">
        <v>67</v>
      </c>
      <c r="V122" s="158"/>
      <c r="W122" s="165"/>
      <c r="X122" s="198">
        <v>1.97</v>
      </c>
      <c r="Y122" s="198"/>
      <c r="Z122" s="198"/>
      <c r="AA122" s="198">
        <v>8.66</v>
      </c>
      <c r="AB122" s="198">
        <v>1.06</v>
      </c>
      <c r="AC122" s="198">
        <f>4.56+8.78+0.7+565.55</f>
        <v>579.58999999999992</v>
      </c>
      <c r="AD122" s="198">
        <f>1.33+26.73</f>
        <v>28.060000000000002</v>
      </c>
      <c r="AE122" s="198">
        <f>0.6+1.19+2.21</f>
        <v>4</v>
      </c>
      <c r="AF122" s="198">
        <v>5.04</v>
      </c>
      <c r="AG122" s="198">
        <f>3.35+38.83+25.56</f>
        <v>67.739999999999995</v>
      </c>
      <c r="AH122" s="198">
        <f>13.37+7.2</f>
        <v>20.57</v>
      </c>
      <c r="AI122" s="198">
        <v>28.18</v>
      </c>
      <c r="AJ122" s="198"/>
      <c r="AK122" s="198">
        <f t="shared" si="8"/>
        <v>744.86999999999989</v>
      </c>
      <c r="AL122" s="198">
        <f t="shared" si="7"/>
        <v>0</v>
      </c>
    </row>
    <row r="123" spans="1:44" s="161" customFormat="1" ht="27.6" hidden="1" x14ac:dyDescent="0.3">
      <c r="A123" s="165">
        <v>123</v>
      </c>
      <c r="B123" s="58" t="s">
        <v>149</v>
      </c>
      <c r="C123" s="58" t="s">
        <v>152</v>
      </c>
      <c r="D123" s="61" t="s">
        <v>150</v>
      </c>
      <c r="E123" s="109" t="s">
        <v>928</v>
      </c>
      <c r="F123" s="24" t="s">
        <v>325</v>
      </c>
      <c r="G123" s="59">
        <v>30</v>
      </c>
      <c r="H123" s="85">
        <v>44742</v>
      </c>
      <c r="I123" s="85">
        <v>47422</v>
      </c>
      <c r="J123" s="107">
        <v>44927</v>
      </c>
      <c r="K123" s="107">
        <v>45291</v>
      </c>
      <c r="L123" s="59" t="s">
        <v>289</v>
      </c>
      <c r="M123" s="179" t="s">
        <v>282</v>
      </c>
      <c r="N123" s="157" t="s">
        <v>151</v>
      </c>
      <c r="O123" s="176">
        <v>45552</v>
      </c>
      <c r="P123" s="58" t="s">
        <v>92</v>
      </c>
      <c r="Q123" s="58"/>
      <c r="R123" s="58"/>
      <c r="S123" s="181">
        <v>134412.16</v>
      </c>
      <c r="T123" s="181">
        <v>134412.16</v>
      </c>
      <c r="U123" s="58" t="s">
        <v>67</v>
      </c>
      <c r="V123" s="158"/>
      <c r="W123" s="155"/>
      <c r="X123" s="198">
        <v>3274.64</v>
      </c>
      <c r="Y123" s="198">
        <v>44076.07</v>
      </c>
      <c r="Z123" s="198"/>
      <c r="AA123" s="198">
        <v>3139.17</v>
      </c>
      <c r="AB123" s="198">
        <v>2109.81</v>
      </c>
      <c r="AC123" s="198">
        <f>49643.63+7973.61+365.81</f>
        <v>57983.049999999996</v>
      </c>
      <c r="AD123" s="198">
        <f>6548.57+8.84</f>
        <v>6557.41</v>
      </c>
      <c r="AE123" s="198"/>
      <c r="AF123" s="198">
        <v>3326.78</v>
      </c>
      <c r="AG123" s="198">
        <f>10151.64+913.36+854.24</f>
        <v>11919.24</v>
      </c>
      <c r="AH123" s="198">
        <v>2025.99</v>
      </c>
      <c r="AI123" s="198"/>
      <c r="AJ123" s="198"/>
      <c r="AK123" s="198">
        <f t="shared" si="8"/>
        <v>134412.15999999997</v>
      </c>
      <c r="AL123" s="198">
        <f t="shared" si="7"/>
        <v>0</v>
      </c>
      <c r="AR123" s="187"/>
    </row>
    <row r="124" spans="1:44" s="161" customFormat="1" ht="124.2" hidden="1" x14ac:dyDescent="0.3">
      <c r="A124" s="165">
        <v>124</v>
      </c>
      <c r="B124" s="58" t="s">
        <v>0</v>
      </c>
      <c r="C124" s="58" t="s">
        <v>0</v>
      </c>
      <c r="D124" s="58" t="s">
        <v>164</v>
      </c>
      <c r="E124" s="163" t="s">
        <v>881</v>
      </c>
      <c r="F124" s="231" t="s">
        <v>438</v>
      </c>
      <c r="G124" s="94">
        <v>88</v>
      </c>
      <c r="H124" s="85">
        <v>42591</v>
      </c>
      <c r="I124" s="85">
        <v>45961</v>
      </c>
      <c r="J124" s="107">
        <v>45413</v>
      </c>
      <c r="K124" s="107">
        <v>45504</v>
      </c>
      <c r="L124" s="59" t="s">
        <v>295</v>
      </c>
      <c r="M124" s="174" t="s">
        <v>437</v>
      </c>
      <c r="N124" s="58" t="s">
        <v>170</v>
      </c>
      <c r="O124" s="176">
        <v>45552</v>
      </c>
      <c r="P124" s="58" t="s">
        <v>2</v>
      </c>
      <c r="Q124" s="58" t="s">
        <v>166</v>
      </c>
      <c r="R124" s="58"/>
      <c r="S124" s="316">
        <v>50586.5</v>
      </c>
      <c r="T124" s="181"/>
      <c r="U124" s="58" t="s">
        <v>67</v>
      </c>
      <c r="V124" s="58"/>
      <c r="W124" s="165"/>
      <c r="X124" s="198"/>
      <c r="Y124" s="198"/>
      <c r="Z124" s="198"/>
      <c r="AA124" s="198"/>
      <c r="AB124" s="198"/>
      <c r="AC124" s="198">
        <v>36336.5</v>
      </c>
      <c r="AD124" s="198">
        <v>14250</v>
      </c>
      <c r="AE124" s="198"/>
      <c r="AF124" s="198"/>
      <c r="AG124" s="198"/>
      <c r="AH124" s="198"/>
      <c r="AI124" s="198"/>
      <c r="AJ124" s="198"/>
      <c r="AK124" s="198">
        <f t="shared" si="8"/>
        <v>50586.5</v>
      </c>
      <c r="AL124" s="198">
        <f t="shared" si="7"/>
        <v>0</v>
      </c>
      <c r="AR124" s="187"/>
    </row>
    <row r="125" spans="1:44" s="161" customFormat="1" ht="55.2" hidden="1" x14ac:dyDescent="0.3">
      <c r="A125" s="165">
        <v>125</v>
      </c>
      <c r="B125" s="58" t="s">
        <v>17</v>
      </c>
      <c r="C125" s="58" t="s">
        <v>17</v>
      </c>
      <c r="D125" s="58" t="s">
        <v>159</v>
      </c>
      <c r="E125" s="102" t="s">
        <v>771</v>
      </c>
      <c r="F125" s="231" t="s">
        <v>311</v>
      </c>
      <c r="G125" s="94">
        <v>17</v>
      </c>
      <c r="H125" s="85">
        <v>43452</v>
      </c>
      <c r="I125" s="85">
        <v>46387</v>
      </c>
      <c r="J125" s="107">
        <v>45409</v>
      </c>
      <c r="K125" s="107">
        <v>45499</v>
      </c>
      <c r="L125" s="59" t="s">
        <v>295</v>
      </c>
      <c r="M125" s="174" t="s">
        <v>310</v>
      </c>
      <c r="N125" s="58" t="s">
        <v>1</v>
      </c>
      <c r="O125" s="176">
        <v>45555</v>
      </c>
      <c r="P125" s="58" t="s">
        <v>2</v>
      </c>
      <c r="Q125" s="58" t="s">
        <v>168</v>
      </c>
      <c r="R125" s="58"/>
      <c r="S125" s="318">
        <v>26775</v>
      </c>
      <c r="T125" s="181"/>
      <c r="U125" s="58" t="s">
        <v>67</v>
      </c>
      <c r="V125" s="58"/>
      <c r="W125" s="165"/>
      <c r="X125" s="198">
        <f>225+225</f>
        <v>450</v>
      </c>
      <c r="Y125" s="198"/>
      <c r="Z125" s="198"/>
      <c r="AA125" s="198"/>
      <c r="AB125" s="198"/>
      <c r="AC125" s="198">
        <v>20250</v>
      </c>
      <c r="AD125" s="198">
        <v>3825</v>
      </c>
      <c r="AE125" s="198">
        <v>225</v>
      </c>
      <c r="AF125" s="198"/>
      <c r="AG125" s="198">
        <v>2025</v>
      </c>
      <c r="AH125" s="198"/>
      <c r="AI125" s="198"/>
      <c r="AJ125" s="198"/>
      <c r="AK125" s="198">
        <f t="shared" si="8"/>
        <v>26775</v>
      </c>
      <c r="AL125" s="198">
        <f t="shared" si="7"/>
        <v>0</v>
      </c>
      <c r="AR125" s="187"/>
    </row>
    <row r="126" spans="1:44" s="161" customFormat="1" ht="41.4" hidden="1" x14ac:dyDescent="0.3">
      <c r="A126" s="165">
        <v>126</v>
      </c>
      <c r="B126" s="58" t="s">
        <v>17</v>
      </c>
      <c r="C126" s="58" t="s">
        <v>17</v>
      </c>
      <c r="D126" s="58" t="s">
        <v>160</v>
      </c>
      <c r="E126" s="102" t="s">
        <v>878</v>
      </c>
      <c r="F126" s="231" t="s">
        <v>306</v>
      </c>
      <c r="G126" s="94">
        <v>12</v>
      </c>
      <c r="H126" s="85">
        <v>41852</v>
      </c>
      <c r="I126" s="85">
        <v>46599</v>
      </c>
      <c r="J126" s="107">
        <v>45409</v>
      </c>
      <c r="K126" s="107">
        <v>45499</v>
      </c>
      <c r="L126" s="59" t="s">
        <v>295</v>
      </c>
      <c r="M126" s="186" t="s">
        <v>305</v>
      </c>
      <c r="N126" s="58" t="s">
        <v>1</v>
      </c>
      <c r="O126" s="176">
        <v>45555</v>
      </c>
      <c r="P126" s="58" t="s">
        <v>2</v>
      </c>
      <c r="Q126" s="58" t="s">
        <v>168</v>
      </c>
      <c r="R126" s="58"/>
      <c r="S126" s="318">
        <v>109956</v>
      </c>
      <c r="T126" s="181"/>
      <c r="U126" s="58" t="s">
        <v>67</v>
      </c>
      <c r="V126" s="58"/>
      <c r="W126" s="165"/>
      <c r="X126" s="198"/>
      <c r="Y126" s="198"/>
      <c r="Z126" s="198"/>
      <c r="AA126" s="198"/>
      <c r="AB126" s="198"/>
      <c r="AC126" s="198">
        <v>96943</v>
      </c>
      <c r="AD126" s="198">
        <v>13013</v>
      </c>
      <c r="AE126" s="198"/>
      <c r="AF126" s="198"/>
      <c r="AG126" s="198"/>
      <c r="AH126" s="198"/>
      <c r="AI126" s="198"/>
      <c r="AJ126" s="198"/>
      <c r="AK126" s="198">
        <f t="shared" si="8"/>
        <v>109956</v>
      </c>
      <c r="AL126" s="198">
        <f t="shared" si="7"/>
        <v>0</v>
      </c>
      <c r="AR126" s="187"/>
    </row>
    <row r="127" spans="1:44" s="161" customFormat="1" ht="110.4" hidden="1" x14ac:dyDescent="0.3">
      <c r="A127" s="165">
        <v>127</v>
      </c>
      <c r="B127" s="58" t="s">
        <v>0</v>
      </c>
      <c r="C127" s="58" t="s">
        <v>0</v>
      </c>
      <c r="D127" s="58" t="s">
        <v>1117</v>
      </c>
      <c r="E127" s="102" t="s">
        <v>779</v>
      </c>
      <c r="F127" s="231" t="s">
        <v>424</v>
      </c>
      <c r="G127" s="94">
        <v>80</v>
      </c>
      <c r="H127" s="85">
        <v>41699</v>
      </c>
      <c r="I127" s="85">
        <v>46418</v>
      </c>
      <c r="J127" s="107">
        <v>45323</v>
      </c>
      <c r="K127" s="107">
        <v>45504</v>
      </c>
      <c r="L127" s="144" t="s">
        <v>872</v>
      </c>
      <c r="M127" s="174" t="s">
        <v>423</v>
      </c>
      <c r="N127" s="58" t="s">
        <v>178</v>
      </c>
      <c r="O127" s="176">
        <v>45555</v>
      </c>
      <c r="P127" s="58" t="s">
        <v>2</v>
      </c>
      <c r="Q127" s="58" t="s">
        <v>168</v>
      </c>
      <c r="R127" s="58"/>
      <c r="S127" s="316">
        <v>325630</v>
      </c>
      <c r="T127" s="181">
        <v>325630</v>
      </c>
      <c r="U127" s="58" t="s">
        <v>67</v>
      </c>
      <c r="V127" s="58"/>
      <c r="W127" s="165"/>
      <c r="X127" s="198">
        <f>1690+2400</f>
        <v>4090</v>
      </c>
      <c r="Y127" s="198"/>
      <c r="Z127" s="198"/>
      <c r="AA127" s="198"/>
      <c r="AB127" s="198"/>
      <c r="AC127" s="199">
        <f>92690+51800+9600</f>
        <v>154090</v>
      </c>
      <c r="AD127" s="198">
        <f>49400+10600</f>
        <v>60000</v>
      </c>
      <c r="AE127" s="198">
        <f>21190+1600</f>
        <v>22790</v>
      </c>
      <c r="AF127" s="198"/>
      <c r="AG127" s="198"/>
      <c r="AH127" s="198"/>
      <c r="AI127" s="198">
        <f>73060+11600</f>
        <v>84660</v>
      </c>
      <c r="AJ127" s="198"/>
      <c r="AK127" s="198">
        <f t="shared" si="8"/>
        <v>325630</v>
      </c>
      <c r="AL127" s="198">
        <f t="shared" si="7"/>
        <v>0</v>
      </c>
      <c r="AR127" s="187"/>
    </row>
    <row r="128" spans="1:44" s="161" customFormat="1" ht="110.4" hidden="1" x14ac:dyDescent="0.3">
      <c r="A128" s="165">
        <v>128</v>
      </c>
      <c r="B128" s="58" t="s">
        <v>0</v>
      </c>
      <c r="C128" s="58" t="s">
        <v>0</v>
      </c>
      <c r="D128" s="58" t="s">
        <v>172</v>
      </c>
      <c r="E128" s="102" t="s">
        <v>778</v>
      </c>
      <c r="F128" s="231" t="s">
        <v>429</v>
      </c>
      <c r="G128" s="94">
        <v>84</v>
      </c>
      <c r="H128" s="85">
        <v>44044</v>
      </c>
      <c r="I128" s="85">
        <v>46290</v>
      </c>
      <c r="J128" s="107">
        <v>45444</v>
      </c>
      <c r="K128" s="107">
        <v>45535</v>
      </c>
      <c r="L128" s="144" t="s">
        <v>295</v>
      </c>
      <c r="M128" s="190" t="s">
        <v>428</v>
      </c>
      <c r="N128" s="58" t="s">
        <v>173</v>
      </c>
      <c r="O128" s="176">
        <v>45558</v>
      </c>
      <c r="P128" s="58" t="s">
        <v>2</v>
      </c>
      <c r="Q128" s="58" t="s">
        <v>168</v>
      </c>
      <c r="R128" s="58"/>
      <c r="S128" s="316">
        <v>260000</v>
      </c>
      <c r="T128" s="181"/>
      <c r="U128" s="58" t="s">
        <v>67</v>
      </c>
      <c r="V128" s="58"/>
      <c r="W128" s="165"/>
      <c r="X128" s="198"/>
      <c r="Y128" s="198"/>
      <c r="Z128" s="198"/>
      <c r="AA128" s="198"/>
      <c r="AB128" s="198"/>
      <c r="AC128" s="198">
        <v>204000</v>
      </c>
      <c r="AD128" s="198">
        <f>28000+28000</f>
        <v>56000</v>
      </c>
      <c r="AE128" s="198"/>
      <c r="AF128" s="198"/>
      <c r="AG128" s="198"/>
      <c r="AH128" s="198"/>
      <c r="AI128" s="198"/>
      <c r="AJ128" s="198"/>
      <c r="AK128" s="198">
        <f t="shared" si="8"/>
        <v>260000</v>
      </c>
      <c r="AL128" s="198">
        <f t="shared" si="7"/>
        <v>0</v>
      </c>
      <c r="AR128" s="187"/>
    </row>
    <row r="129" spans="1:44" s="161" customFormat="1" ht="27.6" hidden="1" x14ac:dyDescent="0.3">
      <c r="A129" s="165">
        <v>129</v>
      </c>
      <c r="B129" s="58" t="s">
        <v>0</v>
      </c>
      <c r="C129" s="58" t="s">
        <v>0</v>
      </c>
      <c r="D129" s="58" t="s">
        <v>179</v>
      </c>
      <c r="E129" s="61" t="s">
        <v>918</v>
      </c>
      <c r="F129" s="61" t="s">
        <v>1003</v>
      </c>
      <c r="G129" s="59">
        <v>533</v>
      </c>
      <c r="H129" s="107">
        <v>42275</v>
      </c>
      <c r="I129" s="107">
        <v>46477</v>
      </c>
      <c r="J129" s="107">
        <v>45323</v>
      </c>
      <c r="K129" s="107">
        <v>45504</v>
      </c>
      <c r="L129" s="59" t="s">
        <v>872</v>
      </c>
      <c r="M129" s="179" t="s">
        <v>919</v>
      </c>
      <c r="N129" s="157" t="s">
        <v>180</v>
      </c>
      <c r="O129" s="176">
        <v>45559</v>
      </c>
      <c r="P129" s="58" t="s">
        <v>2</v>
      </c>
      <c r="Q129" s="58" t="s">
        <v>168</v>
      </c>
      <c r="R129" s="58"/>
      <c r="S129" s="316">
        <v>22500</v>
      </c>
      <c r="T129" s="212"/>
      <c r="U129" s="58" t="s">
        <v>67</v>
      </c>
      <c r="V129" s="58"/>
      <c r="W129" s="165"/>
      <c r="X129" s="198">
        <v>470</v>
      </c>
      <c r="Y129" s="198"/>
      <c r="Z129" s="198"/>
      <c r="AA129" s="198"/>
      <c r="AB129" s="198"/>
      <c r="AC129" s="198">
        <v>10965</v>
      </c>
      <c r="AD129" s="198">
        <v>4115</v>
      </c>
      <c r="AE129" s="198">
        <v>1725</v>
      </c>
      <c r="AF129" s="198"/>
      <c r="AG129" s="198"/>
      <c r="AH129" s="198"/>
      <c r="AI129" s="198">
        <v>5225</v>
      </c>
      <c r="AJ129" s="198"/>
      <c r="AK129" s="198">
        <f t="shared" si="8"/>
        <v>22500</v>
      </c>
      <c r="AL129" s="198">
        <f t="shared" si="7"/>
        <v>0</v>
      </c>
      <c r="AR129" s="187"/>
    </row>
    <row r="130" spans="1:44" s="161" customFormat="1" ht="138" hidden="1" x14ac:dyDescent="0.3">
      <c r="A130" s="165">
        <v>130</v>
      </c>
      <c r="B130" s="58" t="s">
        <v>30</v>
      </c>
      <c r="C130" s="58" t="s">
        <v>30</v>
      </c>
      <c r="D130" s="102" t="s">
        <v>224</v>
      </c>
      <c r="E130" s="102" t="s">
        <v>874</v>
      </c>
      <c r="F130" s="102" t="s">
        <v>981</v>
      </c>
      <c r="G130" s="94">
        <v>244</v>
      </c>
      <c r="H130" s="85">
        <v>42061</v>
      </c>
      <c r="I130" s="85">
        <v>46446</v>
      </c>
      <c r="J130" s="85">
        <v>45383</v>
      </c>
      <c r="K130" s="85">
        <v>45473</v>
      </c>
      <c r="L130" s="140" t="s">
        <v>295</v>
      </c>
      <c r="M130" s="174" t="s">
        <v>380</v>
      </c>
      <c r="N130" s="58" t="s">
        <v>5</v>
      </c>
      <c r="O130" s="178">
        <v>45562</v>
      </c>
      <c r="P130" s="58" t="s">
        <v>2</v>
      </c>
      <c r="Q130" s="58" t="s">
        <v>168</v>
      </c>
      <c r="R130" s="58"/>
      <c r="S130" s="316">
        <v>144000</v>
      </c>
      <c r="T130" s="212"/>
      <c r="U130" s="58"/>
      <c r="V130" s="102"/>
      <c r="W130" s="165"/>
      <c r="X130" s="198"/>
      <c r="Y130" s="198"/>
      <c r="Z130" s="198"/>
      <c r="AA130" s="198"/>
      <c r="AB130" s="198"/>
      <c r="AC130" s="198">
        <v>144000</v>
      </c>
      <c r="AD130" s="198"/>
      <c r="AE130" s="198"/>
      <c r="AF130" s="198"/>
      <c r="AG130" s="198"/>
      <c r="AH130" s="198"/>
      <c r="AI130" s="198"/>
      <c r="AJ130" s="198"/>
      <c r="AK130" s="198">
        <f t="shared" si="8"/>
        <v>144000</v>
      </c>
      <c r="AL130" s="198">
        <f t="shared" ref="AL130:AL161" si="9">AK130-S130</f>
        <v>0</v>
      </c>
      <c r="AR130" s="187"/>
    </row>
    <row r="131" spans="1:44" s="161" customFormat="1" ht="69" hidden="1" x14ac:dyDescent="0.3">
      <c r="A131" s="165">
        <v>131</v>
      </c>
      <c r="B131" s="58" t="s">
        <v>0</v>
      </c>
      <c r="C131" s="58" t="s">
        <v>0</v>
      </c>
      <c r="D131" s="61" t="s">
        <v>917</v>
      </c>
      <c r="E131" s="102" t="s">
        <v>773</v>
      </c>
      <c r="F131" s="102" t="s">
        <v>984</v>
      </c>
      <c r="G131" s="94">
        <v>341</v>
      </c>
      <c r="H131" s="85">
        <v>42069</v>
      </c>
      <c r="I131" s="85">
        <v>46022</v>
      </c>
      <c r="J131" s="85">
        <v>45292</v>
      </c>
      <c r="K131" s="85">
        <v>45473</v>
      </c>
      <c r="L131" s="140" t="s">
        <v>872</v>
      </c>
      <c r="M131" s="174" t="s">
        <v>685</v>
      </c>
      <c r="N131" s="58" t="s">
        <v>219</v>
      </c>
      <c r="O131" s="176">
        <v>45567</v>
      </c>
      <c r="P131" s="58" t="s">
        <v>2</v>
      </c>
      <c r="Q131" s="58" t="s">
        <v>168</v>
      </c>
      <c r="R131" s="58"/>
      <c r="S131" s="316">
        <v>32100</v>
      </c>
      <c r="T131" s="212">
        <v>32100</v>
      </c>
      <c r="U131" s="58" t="s">
        <v>191</v>
      </c>
      <c r="V131" s="58"/>
      <c r="W131" s="165"/>
      <c r="X131" s="198"/>
      <c r="Y131" s="198"/>
      <c r="Z131" s="198"/>
      <c r="AA131" s="198">
        <v>3400</v>
      </c>
      <c r="AB131" s="198"/>
      <c r="AC131" s="198">
        <v>15800</v>
      </c>
      <c r="AD131" s="198">
        <v>11600</v>
      </c>
      <c r="AE131" s="198">
        <v>200</v>
      </c>
      <c r="AF131" s="198"/>
      <c r="AG131" s="198"/>
      <c r="AH131" s="198"/>
      <c r="AI131" s="198">
        <v>1100</v>
      </c>
      <c r="AJ131" s="198"/>
      <c r="AK131" s="198">
        <f t="shared" si="8"/>
        <v>32100</v>
      </c>
      <c r="AL131" s="198">
        <f t="shared" si="9"/>
        <v>0</v>
      </c>
    </row>
    <row r="132" spans="1:44" s="161" customFormat="1" ht="27.6" hidden="1" x14ac:dyDescent="0.3">
      <c r="A132" s="165">
        <v>132</v>
      </c>
      <c r="B132" s="61" t="s">
        <v>107</v>
      </c>
      <c r="C132" s="58" t="s">
        <v>107</v>
      </c>
      <c r="D132" s="61" t="s">
        <v>195</v>
      </c>
      <c r="E132" s="61" t="s">
        <v>787</v>
      </c>
      <c r="F132" s="61" t="s">
        <v>999</v>
      </c>
      <c r="G132" s="59">
        <v>194</v>
      </c>
      <c r="H132" s="85">
        <v>44699</v>
      </c>
      <c r="I132" s="85">
        <v>46524</v>
      </c>
      <c r="J132" s="107">
        <v>45383</v>
      </c>
      <c r="K132" s="107">
        <v>45473</v>
      </c>
      <c r="L132" s="144" t="s">
        <v>295</v>
      </c>
      <c r="M132" s="177" t="s">
        <v>502</v>
      </c>
      <c r="N132" s="58" t="s">
        <v>1</v>
      </c>
      <c r="O132" s="176">
        <v>45568</v>
      </c>
      <c r="P132" s="58" t="s">
        <v>101</v>
      </c>
      <c r="Q132" s="58"/>
      <c r="R132" s="58"/>
      <c r="S132" s="181">
        <f>[3]Sheet1!C3</f>
        <v>77636.639999999999</v>
      </c>
      <c r="T132" s="212">
        <v>751872.52</v>
      </c>
      <c r="U132" s="58" t="s">
        <v>191</v>
      </c>
      <c r="V132" s="58"/>
      <c r="W132" s="165"/>
      <c r="X132" s="198">
        <v>1892.47</v>
      </c>
      <c r="Y132" s="198">
        <f>901.23+0.13</f>
        <v>901.36</v>
      </c>
      <c r="Z132" s="198"/>
      <c r="AA132" s="198">
        <f>2608.49</f>
        <v>2608.4899999999998</v>
      </c>
      <c r="AB132" s="198">
        <f>2.66+12.43+2.43+0.99+0.46+2.87-10.55+35.45</f>
        <v>46.74</v>
      </c>
      <c r="AC132" s="198">
        <f>41172.38+1.57+0.52+1.25+4.54+38.13+5.96+1.89+5.55+0.15+74.6+0.05+32.63+32.58+53.37+1.79</f>
        <v>41426.959999999999</v>
      </c>
      <c r="AD132" s="198">
        <f>8151.77+94.33</f>
        <v>8246.1</v>
      </c>
      <c r="AE132" s="198">
        <v>3581.14</v>
      </c>
      <c r="AF132" s="198">
        <f>1259+5.04</f>
        <v>1264.04</v>
      </c>
      <c r="AG132" s="198">
        <f>9898.6+0.73</f>
        <v>9899.33</v>
      </c>
      <c r="AH132" s="198">
        <v>859.75</v>
      </c>
      <c r="AI132" s="198">
        <f>6913.65-3.39</f>
        <v>6910.2599999999993</v>
      </c>
      <c r="AJ132" s="198"/>
      <c r="AK132" s="198">
        <f t="shared" si="8"/>
        <v>77636.639999999985</v>
      </c>
      <c r="AL132" s="198">
        <f t="shared" si="9"/>
        <v>0</v>
      </c>
    </row>
    <row r="133" spans="1:44" s="161" customFormat="1" ht="303.60000000000002" hidden="1" x14ac:dyDescent="0.3">
      <c r="A133" s="165">
        <v>133</v>
      </c>
      <c r="B133" s="61" t="s">
        <v>107</v>
      </c>
      <c r="C133" s="58" t="s">
        <v>107</v>
      </c>
      <c r="D133" s="58" t="s">
        <v>196</v>
      </c>
      <c r="E133" s="61" t="s">
        <v>787</v>
      </c>
      <c r="F133" s="231" t="s">
        <v>503</v>
      </c>
      <c r="G133" s="94">
        <v>248</v>
      </c>
      <c r="H133" s="85">
        <v>44699</v>
      </c>
      <c r="I133" s="85">
        <v>46524</v>
      </c>
      <c r="J133" s="107">
        <v>45383</v>
      </c>
      <c r="K133" s="107">
        <v>45473</v>
      </c>
      <c r="L133" s="140" t="s">
        <v>295</v>
      </c>
      <c r="M133" s="177" t="s">
        <v>502</v>
      </c>
      <c r="N133" s="58" t="s">
        <v>1</v>
      </c>
      <c r="O133" s="176">
        <v>45568</v>
      </c>
      <c r="P133" s="58" t="s">
        <v>101</v>
      </c>
      <c r="Q133" s="58"/>
      <c r="R133" s="58"/>
      <c r="S133" s="181">
        <f>[3]Sheet1!C4</f>
        <v>425997.41</v>
      </c>
      <c r="T133" s="212">
        <v>751872.52</v>
      </c>
      <c r="U133" s="58" t="s">
        <v>191</v>
      </c>
      <c r="V133" s="58"/>
      <c r="W133" s="165"/>
      <c r="X133" s="198">
        <v>15028.09</v>
      </c>
      <c r="Y133" s="198">
        <f>11537.35+3.46</f>
        <v>11540.81</v>
      </c>
      <c r="Z133" s="198"/>
      <c r="AA133" s="198">
        <v>18734.349999999999</v>
      </c>
      <c r="AB133" s="198">
        <f>79.77+111.7+3.05+13.75+2.04+98.91</f>
        <v>309.22000000000003</v>
      </c>
      <c r="AC133" s="198">
        <f>199672.24+5.37+172.43+22.1+43.91+273.69+558.64+586.94+345.78</f>
        <v>201681.1</v>
      </c>
      <c r="AD133" s="198">
        <f>43874.48+1105.1</f>
        <v>44979.58</v>
      </c>
      <c r="AE133" s="198">
        <v>26117.75</v>
      </c>
      <c r="AF133" s="198">
        <f>8018.13+14.26</f>
        <v>8032.39</v>
      </c>
      <c r="AG133" s="198">
        <f>56169.4+12.48</f>
        <v>56181.880000000005</v>
      </c>
      <c r="AH133" s="198">
        <v>6661.91</v>
      </c>
      <c r="AI133" s="198">
        <v>36730.33</v>
      </c>
      <c r="AJ133" s="198"/>
      <c r="AK133" s="198">
        <f t="shared" si="8"/>
        <v>425997.41000000003</v>
      </c>
      <c r="AL133" s="198">
        <f t="shared" si="9"/>
        <v>0</v>
      </c>
    </row>
    <row r="134" spans="1:44" s="161" customFormat="1" ht="303.60000000000002" hidden="1" x14ac:dyDescent="0.3">
      <c r="A134" s="165">
        <v>134</v>
      </c>
      <c r="B134" s="61" t="s">
        <v>107</v>
      </c>
      <c r="C134" s="58" t="s">
        <v>107</v>
      </c>
      <c r="D134" s="58" t="s">
        <v>197</v>
      </c>
      <c r="E134" s="61" t="s">
        <v>787</v>
      </c>
      <c r="F134" s="231" t="s">
        <v>503</v>
      </c>
      <c r="G134" s="94">
        <v>109</v>
      </c>
      <c r="H134" s="85">
        <v>44699</v>
      </c>
      <c r="I134" s="85">
        <v>46524</v>
      </c>
      <c r="J134" s="107">
        <v>45383</v>
      </c>
      <c r="K134" s="107">
        <v>45473</v>
      </c>
      <c r="L134" s="140" t="s">
        <v>295</v>
      </c>
      <c r="M134" s="177" t="s">
        <v>502</v>
      </c>
      <c r="N134" s="58" t="s">
        <v>1</v>
      </c>
      <c r="O134" s="176">
        <v>45568</v>
      </c>
      <c r="P134" s="58" t="s">
        <v>101</v>
      </c>
      <c r="Q134" s="58"/>
      <c r="R134" s="58"/>
      <c r="S134" s="181">
        <f>[3]Sheet1!C5</f>
        <v>78363.63</v>
      </c>
      <c r="T134" s="212">
        <v>751872.52</v>
      </c>
      <c r="U134" s="58" t="s">
        <v>191</v>
      </c>
      <c r="V134" s="58"/>
      <c r="W134" s="165"/>
      <c r="X134" s="198">
        <v>394.71</v>
      </c>
      <c r="Y134" s="198">
        <v>945.95</v>
      </c>
      <c r="Z134" s="198"/>
      <c r="AA134" s="198">
        <v>932.99</v>
      </c>
      <c r="AB134" s="198"/>
      <c r="AC134" s="198">
        <f>45754.5-5.58</f>
        <v>45748.92</v>
      </c>
      <c r="AD134" s="198">
        <v>5104.03</v>
      </c>
      <c r="AE134" s="198">
        <v>3557.4</v>
      </c>
      <c r="AF134" s="198">
        <v>1954.86</v>
      </c>
      <c r="AG134" s="198">
        <v>9361.59</v>
      </c>
      <c r="AH134" s="198">
        <v>1954.68</v>
      </c>
      <c r="AI134" s="198">
        <v>8408.5</v>
      </c>
      <c r="AJ134" s="198"/>
      <c r="AK134" s="198">
        <f t="shared" si="8"/>
        <v>78363.62999999999</v>
      </c>
      <c r="AL134" s="198">
        <f t="shared" si="9"/>
        <v>0</v>
      </c>
    </row>
    <row r="135" spans="1:44" s="165" customFormat="1" ht="303.60000000000002" hidden="1" x14ac:dyDescent="0.3">
      <c r="A135" s="165">
        <v>135</v>
      </c>
      <c r="B135" s="61" t="s">
        <v>107</v>
      </c>
      <c r="C135" s="58" t="s">
        <v>107</v>
      </c>
      <c r="D135" s="61" t="s">
        <v>198</v>
      </c>
      <c r="E135" s="61" t="s">
        <v>787</v>
      </c>
      <c r="F135" s="231" t="s">
        <v>503</v>
      </c>
      <c r="G135" s="59">
        <v>193</v>
      </c>
      <c r="H135" s="85">
        <v>44699</v>
      </c>
      <c r="I135" s="85">
        <v>46524</v>
      </c>
      <c r="J135" s="107">
        <v>45383</v>
      </c>
      <c r="K135" s="107">
        <v>45473</v>
      </c>
      <c r="L135" s="140" t="s">
        <v>295</v>
      </c>
      <c r="M135" s="177" t="s">
        <v>502</v>
      </c>
      <c r="N135" s="58" t="s">
        <v>1</v>
      </c>
      <c r="O135" s="176">
        <v>45568</v>
      </c>
      <c r="P135" s="58" t="s">
        <v>101</v>
      </c>
      <c r="Q135" s="58"/>
      <c r="R135" s="58"/>
      <c r="S135" s="181">
        <f>[3]Sheet1!C6</f>
        <v>47327.14</v>
      </c>
      <c r="T135" s="212">
        <v>751872.52</v>
      </c>
      <c r="U135" s="58" t="s">
        <v>191</v>
      </c>
      <c r="V135" s="58"/>
      <c r="X135" s="198">
        <v>-14694.31</v>
      </c>
      <c r="Y135" s="198">
        <f>1205.49+3.46</f>
        <v>1208.95</v>
      </c>
      <c r="Z135" s="198"/>
      <c r="AA135" s="198">
        <v>3242.36</v>
      </c>
      <c r="AB135" s="198">
        <f>8.63-4.8+3.05+13.75+2.08+32</f>
        <v>54.71</v>
      </c>
      <c r="AC135" s="198">
        <f>13901.96-14.04+5.37+172.43+22.1+43.91+273.68+558.64+586.94+272.31</f>
        <v>15823.3</v>
      </c>
      <c r="AD135" s="198">
        <f>11567.88-88.54</f>
        <v>11479.339999999998</v>
      </c>
      <c r="AE135" s="198">
        <v>4161.47</v>
      </c>
      <c r="AF135" s="198">
        <f>2521.9+14.26</f>
        <v>2536.1600000000003</v>
      </c>
      <c r="AG135" s="198">
        <f>12651.09+12.48</f>
        <v>12663.57</v>
      </c>
      <c r="AH135" s="198">
        <v>-703.93</v>
      </c>
      <c r="AI135" s="198">
        <v>11555.52</v>
      </c>
      <c r="AJ135" s="198"/>
      <c r="AK135" s="198">
        <f t="shared" si="8"/>
        <v>47327.14</v>
      </c>
      <c r="AL135" s="198">
        <f t="shared" si="9"/>
        <v>0</v>
      </c>
      <c r="AM135" s="161"/>
      <c r="AN135" s="161"/>
      <c r="AO135" s="161"/>
      <c r="AP135" s="161"/>
      <c r="AQ135" s="161"/>
      <c r="AR135" s="161"/>
    </row>
    <row r="136" spans="1:44" s="161" customFormat="1" ht="27.6" hidden="1" x14ac:dyDescent="0.3">
      <c r="A136" s="165">
        <v>136</v>
      </c>
      <c r="B136" s="61" t="s">
        <v>107</v>
      </c>
      <c r="C136" s="58" t="s">
        <v>107</v>
      </c>
      <c r="D136" s="58" t="s">
        <v>199</v>
      </c>
      <c r="E136" s="61" t="s">
        <v>788</v>
      </c>
      <c r="F136" s="231" t="s">
        <v>514</v>
      </c>
      <c r="G136" s="94">
        <v>116</v>
      </c>
      <c r="H136" s="85">
        <v>44508</v>
      </c>
      <c r="I136" s="85">
        <v>46022</v>
      </c>
      <c r="J136" s="107">
        <v>45383</v>
      </c>
      <c r="K136" s="107">
        <v>45473</v>
      </c>
      <c r="L136" s="140" t="s">
        <v>295</v>
      </c>
      <c r="M136" s="174" t="s">
        <v>513</v>
      </c>
      <c r="N136" s="58" t="s">
        <v>1</v>
      </c>
      <c r="O136" s="176">
        <v>45568</v>
      </c>
      <c r="P136" s="58" t="s">
        <v>101</v>
      </c>
      <c r="Q136" s="58"/>
      <c r="R136" s="58"/>
      <c r="S136" s="181">
        <f>[3]Sheet1!C7</f>
        <v>8620.06</v>
      </c>
      <c r="T136" s="212">
        <v>751872.52</v>
      </c>
      <c r="U136" s="58" t="s">
        <v>191</v>
      </c>
      <c r="V136" s="58"/>
      <c r="W136" s="165"/>
      <c r="X136" s="198">
        <f>358.86+7.2</f>
        <v>366.06</v>
      </c>
      <c r="Y136" s="198"/>
      <c r="Z136" s="198"/>
      <c r="AA136" s="198">
        <v>779.26</v>
      </c>
      <c r="AB136" s="198">
        <v>1.59</v>
      </c>
      <c r="AC136" s="198">
        <f>6.36+6.81+2658.44</f>
        <v>2671.61</v>
      </c>
      <c r="AD136" s="198">
        <v>1257.8499999999999</v>
      </c>
      <c r="AE136" s="198">
        <v>65.19</v>
      </c>
      <c r="AF136" s="198">
        <f>8.21</f>
        <v>8.2100000000000009</v>
      </c>
      <c r="AG136" s="198">
        <v>3470.29</v>
      </c>
      <c r="AH136" s="198"/>
      <c r="AI136" s="198"/>
      <c r="AJ136" s="198"/>
      <c r="AK136" s="198">
        <f t="shared" si="8"/>
        <v>8620.06</v>
      </c>
      <c r="AL136" s="198">
        <f t="shared" si="9"/>
        <v>0</v>
      </c>
    </row>
    <row r="137" spans="1:44" s="161" customFormat="1" ht="27.6" hidden="1" x14ac:dyDescent="0.3">
      <c r="A137" s="165">
        <v>137</v>
      </c>
      <c r="B137" s="61" t="s">
        <v>107</v>
      </c>
      <c r="C137" s="58" t="s">
        <v>107</v>
      </c>
      <c r="D137" s="58" t="s">
        <v>200</v>
      </c>
      <c r="E137" s="61" t="s">
        <v>788</v>
      </c>
      <c r="F137" s="231" t="s">
        <v>514</v>
      </c>
      <c r="G137" s="94">
        <v>116</v>
      </c>
      <c r="H137" s="85">
        <v>44508</v>
      </c>
      <c r="I137" s="85">
        <v>46022</v>
      </c>
      <c r="J137" s="107">
        <v>45383</v>
      </c>
      <c r="K137" s="107">
        <v>45473</v>
      </c>
      <c r="L137" s="140" t="s">
        <v>295</v>
      </c>
      <c r="M137" s="185" t="s">
        <v>513</v>
      </c>
      <c r="N137" s="58" t="s">
        <v>1</v>
      </c>
      <c r="O137" s="176">
        <v>45568</v>
      </c>
      <c r="P137" s="58" t="s">
        <v>101</v>
      </c>
      <c r="Q137" s="58"/>
      <c r="R137" s="58"/>
      <c r="S137" s="181">
        <f>[3]Sheet1!C8</f>
        <v>6119.91</v>
      </c>
      <c r="T137" s="212">
        <v>751872.52</v>
      </c>
      <c r="U137" s="58" t="s">
        <v>191</v>
      </c>
      <c r="V137" s="58"/>
      <c r="W137" s="165"/>
      <c r="X137" s="198">
        <f>73.14+3.18</f>
        <v>76.320000000000007</v>
      </c>
      <c r="Y137" s="198">
        <v>12.72</v>
      </c>
      <c r="Z137" s="198"/>
      <c r="AA137" s="198">
        <f>1116.18+124.02</f>
        <v>1240.2</v>
      </c>
      <c r="AB137" s="198">
        <v>1.59</v>
      </c>
      <c r="AC137" s="198">
        <f>93.81+391.14+4.77</f>
        <v>489.71999999999997</v>
      </c>
      <c r="AD137" s="198">
        <f>152.64+826.8</f>
        <v>979.43999999999994</v>
      </c>
      <c r="AE137" s="198">
        <v>1098.69</v>
      </c>
      <c r="AF137" s="198"/>
      <c r="AG137" s="198">
        <f>93.81+211.47</f>
        <v>305.27999999999997</v>
      </c>
      <c r="AH137" s="198">
        <v>23.85</v>
      </c>
      <c r="AI137" s="198">
        <v>1892.1</v>
      </c>
      <c r="AJ137" s="198"/>
      <c r="AK137" s="198">
        <f t="shared" si="8"/>
        <v>6119.91</v>
      </c>
      <c r="AL137" s="198">
        <f t="shared" si="9"/>
        <v>0</v>
      </c>
    </row>
    <row r="138" spans="1:44" s="161" customFormat="1" ht="234.6" hidden="1" x14ac:dyDescent="0.3">
      <c r="A138" s="165">
        <v>138</v>
      </c>
      <c r="B138" s="61" t="s">
        <v>107</v>
      </c>
      <c r="C138" s="58" t="s">
        <v>107</v>
      </c>
      <c r="D138" s="58" t="s">
        <v>201</v>
      </c>
      <c r="E138" s="58" t="s">
        <v>789</v>
      </c>
      <c r="F138" s="231" t="s">
        <v>511</v>
      </c>
      <c r="G138" s="94">
        <v>115</v>
      </c>
      <c r="H138" s="85">
        <v>45002</v>
      </c>
      <c r="I138" s="85">
        <v>45930</v>
      </c>
      <c r="J138" s="107">
        <v>45383</v>
      </c>
      <c r="K138" s="107">
        <v>45473</v>
      </c>
      <c r="L138" s="94" t="s">
        <v>295</v>
      </c>
      <c r="M138" s="151" t="s">
        <v>510</v>
      </c>
      <c r="N138" s="58" t="s">
        <v>1</v>
      </c>
      <c r="O138" s="176">
        <v>45568</v>
      </c>
      <c r="P138" s="58" t="s">
        <v>101</v>
      </c>
      <c r="Q138" s="58"/>
      <c r="R138" s="58"/>
      <c r="S138" s="181">
        <f>[3]Sheet1!C9</f>
        <v>34554.980000000003</v>
      </c>
      <c r="T138" s="215">
        <v>751872.52</v>
      </c>
      <c r="U138" s="58" t="s">
        <v>191</v>
      </c>
      <c r="V138" s="58"/>
      <c r="W138" s="165"/>
      <c r="X138" s="198">
        <f>823.34+1385.49+53.12+24.38</f>
        <v>2286.33</v>
      </c>
      <c r="Y138" s="198">
        <f>132.8+504.62</f>
        <v>637.42000000000007</v>
      </c>
      <c r="Z138" s="198"/>
      <c r="AA138" s="198">
        <f>956.15+26.56+1029.9</f>
        <v>2012.6100000000001</v>
      </c>
      <c r="AB138" s="198"/>
      <c r="AC138" s="198">
        <f>3638.59+26.56+79.68+106.24+11021.95+10.1+132.8+53.12+106.24+106.24</f>
        <v>15281.52</v>
      </c>
      <c r="AD138" s="198">
        <f>273.67+2986.78</f>
        <v>3260.4500000000003</v>
      </c>
      <c r="AE138" s="198">
        <f>796.78+2326.61</f>
        <v>3123.3900000000003</v>
      </c>
      <c r="AF138" s="198">
        <f>26.56+768.4</f>
        <v>794.95999999999992</v>
      </c>
      <c r="AG138" s="198">
        <f>318.71+2882.23</f>
        <v>3200.94</v>
      </c>
      <c r="AH138" s="198">
        <v>53.12</v>
      </c>
      <c r="AI138" s="198">
        <v>3904.24</v>
      </c>
      <c r="AJ138" s="198"/>
      <c r="AK138" s="198">
        <f t="shared" si="8"/>
        <v>34554.979999999996</v>
      </c>
      <c r="AL138" s="198">
        <f t="shared" si="9"/>
        <v>0</v>
      </c>
      <c r="AM138" s="165"/>
      <c r="AN138" s="165"/>
      <c r="AO138" s="165"/>
      <c r="AP138" s="165"/>
      <c r="AQ138" s="165"/>
      <c r="AR138" s="165"/>
    </row>
    <row r="139" spans="1:44" s="161" customFormat="1" ht="13.8" hidden="1" x14ac:dyDescent="0.3">
      <c r="A139" s="165">
        <v>139</v>
      </c>
      <c r="B139" s="61" t="s">
        <v>107</v>
      </c>
      <c r="C139" s="58" t="s">
        <v>107</v>
      </c>
      <c r="D139" s="58" t="s">
        <v>202</v>
      </c>
      <c r="E139" s="58" t="s">
        <v>882</v>
      </c>
      <c r="F139" s="231" t="s">
        <v>508</v>
      </c>
      <c r="G139" s="94">
        <v>114</v>
      </c>
      <c r="H139" s="85">
        <v>44924</v>
      </c>
      <c r="I139" s="85">
        <v>46022</v>
      </c>
      <c r="J139" s="107">
        <v>45383</v>
      </c>
      <c r="K139" s="107">
        <v>45473</v>
      </c>
      <c r="L139" s="94" t="s">
        <v>295</v>
      </c>
      <c r="M139" s="186" t="s">
        <v>507</v>
      </c>
      <c r="N139" s="58" t="s">
        <v>1</v>
      </c>
      <c r="O139" s="176">
        <v>45568</v>
      </c>
      <c r="P139" s="58" t="s">
        <v>101</v>
      </c>
      <c r="Q139" s="58"/>
      <c r="R139" s="58"/>
      <c r="S139" s="181">
        <f>[3]Sheet1!C10</f>
        <v>55871.48</v>
      </c>
      <c r="T139" s="181">
        <v>751872.52</v>
      </c>
      <c r="U139" s="58" t="s">
        <v>191</v>
      </c>
      <c r="V139" s="58"/>
      <c r="W139" s="165"/>
      <c r="X139" s="198">
        <v>2309.14</v>
      </c>
      <c r="Y139" s="198">
        <v>1111.1400000000001</v>
      </c>
      <c r="Z139" s="198"/>
      <c r="AA139" s="198">
        <v>2990.87</v>
      </c>
      <c r="AB139" s="198">
        <f>20.71+12.42</f>
        <v>33.130000000000003</v>
      </c>
      <c r="AC139" s="198">
        <f>27235.25+12.42+2.07+58.02+41.44+194.7+12.83</f>
        <v>27556.73</v>
      </c>
      <c r="AD139" s="198">
        <f>5919.84+134.09</f>
        <v>6053.93</v>
      </c>
      <c r="AE139" s="198">
        <v>3364.13</v>
      </c>
      <c r="AF139" s="198">
        <f>1016.97+8.28</f>
        <v>1025.25</v>
      </c>
      <c r="AG139" s="198">
        <v>6487.65</v>
      </c>
      <c r="AH139" s="198">
        <v>522.15</v>
      </c>
      <c r="AI139" s="198">
        <v>4417.3599999999997</v>
      </c>
      <c r="AJ139" s="198"/>
      <c r="AK139" s="198">
        <f t="shared" si="8"/>
        <v>55871.48</v>
      </c>
      <c r="AL139" s="198">
        <f t="shared" si="9"/>
        <v>0</v>
      </c>
    </row>
    <row r="140" spans="1:44" s="165" customFormat="1" ht="165.6" hidden="1" x14ac:dyDescent="0.3">
      <c r="A140" s="165">
        <v>140</v>
      </c>
      <c r="B140" s="61" t="s">
        <v>107</v>
      </c>
      <c r="C140" s="58" t="s">
        <v>107</v>
      </c>
      <c r="D140" s="58" t="s">
        <v>194</v>
      </c>
      <c r="E140" s="138" t="s">
        <v>787</v>
      </c>
      <c r="F140" s="231" t="s">
        <v>505</v>
      </c>
      <c r="G140" s="94">
        <v>113</v>
      </c>
      <c r="H140" s="85">
        <v>44699</v>
      </c>
      <c r="I140" s="85">
        <v>46524</v>
      </c>
      <c r="J140" s="107">
        <v>45383</v>
      </c>
      <c r="K140" s="107">
        <v>45473</v>
      </c>
      <c r="L140" s="94" t="s">
        <v>295</v>
      </c>
      <c r="M140" s="174" t="s">
        <v>502</v>
      </c>
      <c r="N140" s="58" t="s">
        <v>1</v>
      </c>
      <c r="O140" s="176">
        <v>45568</v>
      </c>
      <c r="P140" s="58" t="s">
        <v>101</v>
      </c>
      <c r="Q140" s="58"/>
      <c r="R140" s="58"/>
      <c r="S140" s="181">
        <v>17381.25</v>
      </c>
      <c r="T140" s="181">
        <v>751872.52</v>
      </c>
      <c r="U140" s="58" t="s">
        <v>191</v>
      </c>
      <c r="V140" s="58"/>
      <c r="X140" s="198"/>
      <c r="Y140" s="198"/>
      <c r="Z140" s="198"/>
      <c r="AA140" s="198"/>
      <c r="AB140" s="198"/>
      <c r="AC140" s="198">
        <v>17381.25</v>
      </c>
      <c r="AD140" s="198"/>
      <c r="AE140" s="198"/>
      <c r="AF140" s="198"/>
      <c r="AG140" s="198"/>
      <c r="AH140" s="198"/>
      <c r="AI140" s="198"/>
      <c r="AJ140" s="198"/>
      <c r="AK140" s="198">
        <f t="shared" si="8"/>
        <v>17381.25</v>
      </c>
      <c r="AL140" s="198">
        <f t="shared" si="9"/>
        <v>0</v>
      </c>
      <c r="AM140" s="161"/>
      <c r="AN140" s="161"/>
      <c r="AO140" s="161"/>
      <c r="AP140" s="161"/>
      <c r="AQ140" s="161"/>
      <c r="AR140" s="161"/>
    </row>
    <row r="141" spans="1:44" s="161" customFormat="1" ht="82.8" hidden="1" x14ac:dyDescent="0.3">
      <c r="A141" s="165">
        <v>141</v>
      </c>
      <c r="B141" s="58" t="s">
        <v>185</v>
      </c>
      <c r="C141" s="58" t="s">
        <v>185</v>
      </c>
      <c r="D141" s="58" t="s">
        <v>255</v>
      </c>
      <c r="E141" s="58" t="s">
        <v>933</v>
      </c>
      <c r="F141" s="231" t="s">
        <v>402</v>
      </c>
      <c r="G141" s="59">
        <v>64</v>
      </c>
      <c r="H141" s="107">
        <v>45170</v>
      </c>
      <c r="I141" s="107">
        <v>46265</v>
      </c>
      <c r="J141" s="107">
        <v>45170</v>
      </c>
      <c r="K141" s="107">
        <v>45535</v>
      </c>
      <c r="L141" s="59" t="s">
        <v>289</v>
      </c>
      <c r="M141" s="174" t="s">
        <v>401</v>
      </c>
      <c r="N141" s="58" t="s">
        <v>254</v>
      </c>
      <c r="O141" s="178">
        <v>45568</v>
      </c>
      <c r="P141" s="58" t="s">
        <v>101</v>
      </c>
      <c r="Q141" s="58"/>
      <c r="R141" s="58"/>
      <c r="S141" s="181">
        <v>17040.61</v>
      </c>
      <c r="T141" s="212">
        <v>17040.61</v>
      </c>
      <c r="U141" s="58" t="s">
        <v>191</v>
      </c>
      <c r="V141" s="58"/>
      <c r="W141" s="165"/>
      <c r="X141" s="198">
        <f>415.15+246.59+1.21+0.91+0.34</f>
        <v>664.2</v>
      </c>
      <c r="Y141" s="198"/>
      <c r="Z141" s="198"/>
      <c r="AA141" s="198">
        <f>37.82+4.78+1117.3+0.28</f>
        <v>1160.1799999999998</v>
      </c>
      <c r="AB141" s="198">
        <f>1.24+0.87+396.39+0.19+0.2+0.26</f>
        <v>399.15</v>
      </c>
      <c r="AC141" s="198">
        <f>123.77+7533.05+0.12</f>
        <v>7656.9400000000005</v>
      </c>
      <c r="AD141" s="198">
        <f>0.24+2690.09+3135.34</f>
        <v>5825.67</v>
      </c>
      <c r="AE141" s="198">
        <f>894.11+3.97</f>
        <v>898.08</v>
      </c>
      <c r="AF141" s="198">
        <f>38.62+229.02</f>
        <v>267.64</v>
      </c>
      <c r="AG141" s="198">
        <f>10.91</f>
        <v>10.91</v>
      </c>
      <c r="AH141" s="198">
        <f>157.59+0.08+0.17</f>
        <v>157.84</v>
      </c>
      <c r="AI141" s="198"/>
      <c r="AJ141" s="198"/>
      <c r="AK141" s="198">
        <f t="shared" si="8"/>
        <v>17040.61</v>
      </c>
      <c r="AL141" s="198">
        <f t="shared" si="9"/>
        <v>0</v>
      </c>
    </row>
    <row r="142" spans="1:44" s="161" customFormat="1" ht="69" hidden="1" x14ac:dyDescent="0.3">
      <c r="A142" s="165">
        <v>142</v>
      </c>
      <c r="B142" s="58" t="s">
        <v>185</v>
      </c>
      <c r="C142" s="58" t="s">
        <v>185</v>
      </c>
      <c r="D142" s="148" t="s">
        <v>186</v>
      </c>
      <c r="E142" s="58" t="s">
        <v>933</v>
      </c>
      <c r="F142" s="231" t="s">
        <v>402</v>
      </c>
      <c r="G142" s="59">
        <v>64</v>
      </c>
      <c r="H142" s="107">
        <v>45170</v>
      </c>
      <c r="I142" s="107">
        <v>46265</v>
      </c>
      <c r="J142" s="107">
        <v>44470</v>
      </c>
      <c r="K142" s="107">
        <v>44834</v>
      </c>
      <c r="L142" s="59" t="s">
        <v>901</v>
      </c>
      <c r="M142" s="174" t="s">
        <v>401</v>
      </c>
      <c r="N142" s="58" t="s">
        <v>251</v>
      </c>
      <c r="O142" s="178">
        <v>45568</v>
      </c>
      <c r="P142" s="58" t="s">
        <v>101</v>
      </c>
      <c r="Q142" s="58"/>
      <c r="R142" s="58"/>
      <c r="S142" s="181">
        <v>662035.25</v>
      </c>
      <c r="T142" s="212"/>
      <c r="U142" s="58" t="s">
        <v>233</v>
      </c>
      <c r="V142" s="58"/>
      <c r="X142" s="198">
        <v>1304</v>
      </c>
      <c r="Y142" s="198">
        <f>0.36+30.74</f>
        <v>31.099999999999998</v>
      </c>
      <c r="Z142" s="198"/>
      <c r="AA142" s="198">
        <f>32.09+530.24+204.09</f>
        <v>766.42000000000007</v>
      </c>
      <c r="AB142" s="198">
        <f>8.39+2524.61+271.66+419.14+32.53+77.62+89.18+22.94+87760.91+27.26+6.3+1560.91+15.59+38.08+56.98+39.79+144.1+100.49</f>
        <v>93196.48000000001</v>
      </c>
      <c r="AC142" s="198">
        <f>97531.25+17.27+60628.35</f>
        <v>158176.87</v>
      </c>
      <c r="AD142" s="198"/>
      <c r="AE142" s="198">
        <v>45153.15</v>
      </c>
      <c r="AF142" s="198">
        <v>10942.65</v>
      </c>
      <c r="AG142" s="198">
        <f>121174.19+17572.23</f>
        <v>138746.42000000001</v>
      </c>
      <c r="AH142" s="198">
        <v>5098.16</v>
      </c>
      <c r="AI142" s="198">
        <v>208620</v>
      </c>
      <c r="AJ142" s="198"/>
      <c r="AK142" s="198">
        <f t="shared" si="8"/>
        <v>662035.25</v>
      </c>
      <c r="AL142" s="198">
        <f t="shared" si="9"/>
        <v>0</v>
      </c>
    </row>
    <row r="143" spans="1:44" s="161" customFormat="1" ht="69" hidden="1" x14ac:dyDescent="0.3">
      <c r="A143" s="165">
        <v>143</v>
      </c>
      <c r="B143" s="131" t="s">
        <v>0</v>
      </c>
      <c r="C143" s="131" t="s">
        <v>0</v>
      </c>
      <c r="D143" s="131" t="s">
        <v>192</v>
      </c>
      <c r="E143" s="102" t="s">
        <v>886</v>
      </c>
      <c r="F143" s="231" t="s">
        <v>432</v>
      </c>
      <c r="G143" s="94">
        <v>85</v>
      </c>
      <c r="H143" s="85">
        <v>42500</v>
      </c>
      <c r="I143" s="85">
        <v>46418</v>
      </c>
      <c r="J143" s="107">
        <v>45352</v>
      </c>
      <c r="K143" s="107">
        <v>45535</v>
      </c>
      <c r="L143" s="59" t="s">
        <v>872</v>
      </c>
      <c r="M143" s="174" t="s">
        <v>431</v>
      </c>
      <c r="N143" s="131" t="s">
        <v>1</v>
      </c>
      <c r="O143" s="188">
        <v>45569</v>
      </c>
      <c r="P143" s="131" t="s">
        <v>2</v>
      </c>
      <c r="Q143" s="131" t="s">
        <v>168</v>
      </c>
      <c r="R143" s="131"/>
      <c r="S143" s="316">
        <v>113400</v>
      </c>
      <c r="T143" s="212">
        <v>113400</v>
      </c>
      <c r="U143" s="61" t="s">
        <v>191</v>
      </c>
      <c r="V143" s="61"/>
      <c r="W143" s="155"/>
      <c r="X143" s="199"/>
      <c r="Y143" s="199"/>
      <c r="Z143" s="199"/>
      <c r="AA143" s="199"/>
      <c r="AB143" s="199"/>
      <c r="AC143" s="199">
        <v>113400</v>
      </c>
      <c r="AD143" s="199"/>
      <c r="AE143" s="199"/>
      <c r="AF143" s="199"/>
      <c r="AG143" s="199"/>
      <c r="AH143" s="199"/>
      <c r="AI143" s="199"/>
      <c r="AJ143" s="199"/>
      <c r="AK143" s="198">
        <f t="shared" si="8"/>
        <v>113400</v>
      </c>
      <c r="AL143" s="198">
        <f t="shared" si="9"/>
        <v>0</v>
      </c>
      <c r="AM143" s="165"/>
      <c r="AN143" s="165"/>
      <c r="AO143" s="165"/>
      <c r="AP143" s="165"/>
      <c r="AQ143" s="165"/>
      <c r="AR143" s="165"/>
    </row>
    <row r="144" spans="1:44" s="161" customFormat="1" ht="179.4" hidden="1" x14ac:dyDescent="0.3">
      <c r="A144" s="165">
        <v>144</v>
      </c>
      <c r="B144" s="61" t="s">
        <v>0</v>
      </c>
      <c r="C144" s="58" t="s">
        <v>0</v>
      </c>
      <c r="D144" s="58" t="s">
        <v>216</v>
      </c>
      <c r="E144" s="102" t="s">
        <v>888</v>
      </c>
      <c r="F144" s="231" t="s">
        <v>435</v>
      </c>
      <c r="G144" s="94">
        <v>189</v>
      </c>
      <c r="H144" s="85">
        <v>42614</v>
      </c>
      <c r="I144" s="85">
        <v>46568</v>
      </c>
      <c r="J144" s="107">
        <v>45352</v>
      </c>
      <c r="K144" s="107">
        <v>45535</v>
      </c>
      <c r="L144" s="59" t="s">
        <v>872</v>
      </c>
      <c r="M144" s="179" t="s">
        <v>434</v>
      </c>
      <c r="N144" s="58" t="s">
        <v>215</v>
      </c>
      <c r="O144" s="176">
        <v>45572</v>
      </c>
      <c r="P144" s="58" t="s">
        <v>2</v>
      </c>
      <c r="Q144" s="58" t="s">
        <v>168</v>
      </c>
      <c r="R144" s="58"/>
      <c r="S144" s="316">
        <v>69894.45</v>
      </c>
      <c r="T144" s="181">
        <v>202255.04</v>
      </c>
      <c r="U144" s="58" t="s">
        <v>191</v>
      </c>
      <c r="V144" s="58"/>
      <c r="W144" s="165"/>
      <c r="X144" s="198"/>
      <c r="Y144" s="198"/>
      <c r="Z144" s="198"/>
      <c r="AA144" s="198"/>
      <c r="AB144" s="198"/>
      <c r="AC144" s="198">
        <f>69344.1</f>
        <v>69344.100000000006</v>
      </c>
      <c r="AD144" s="198"/>
      <c r="AE144" s="198"/>
      <c r="AF144" s="198"/>
      <c r="AG144" s="198"/>
      <c r="AH144" s="198"/>
      <c r="AI144" s="198">
        <v>550.35</v>
      </c>
      <c r="AJ144" s="198"/>
      <c r="AK144" s="198">
        <f t="shared" ref="AK144:AK156" si="10">SUM(X144:AJ144)</f>
        <v>69894.450000000012</v>
      </c>
      <c r="AL144" s="198">
        <f t="shared" si="9"/>
        <v>0</v>
      </c>
    </row>
    <row r="145" spans="1:44" s="161" customFormat="1" ht="179.4" hidden="1" x14ac:dyDescent="0.3">
      <c r="A145" s="165">
        <v>145</v>
      </c>
      <c r="B145" s="61" t="s">
        <v>0</v>
      </c>
      <c r="C145" s="58" t="s">
        <v>0</v>
      </c>
      <c r="D145" s="58" t="s">
        <v>217</v>
      </c>
      <c r="E145" s="102" t="s">
        <v>888</v>
      </c>
      <c r="F145" s="231" t="s">
        <v>435</v>
      </c>
      <c r="G145" s="94">
        <v>86</v>
      </c>
      <c r="H145" s="85">
        <v>42614</v>
      </c>
      <c r="I145" s="85">
        <v>46568</v>
      </c>
      <c r="J145" s="107">
        <v>45352</v>
      </c>
      <c r="K145" s="107">
        <v>45535</v>
      </c>
      <c r="L145" s="144" t="s">
        <v>872</v>
      </c>
      <c r="M145" s="179" t="s">
        <v>434</v>
      </c>
      <c r="N145" s="58" t="s">
        <v>215</v>
      </c>
      <c r="O145" s="176">
        <v>45572</v>
      </c>
      <c r="P145" s="58" t="s">
        <v>2</v>
      </c>
      <c r="Q145" s="58" t="s">
        <v>168</v>
      </c>
      <c r="R145" s="58"/>
      <c r="S145" s="316">
        <v>88374.59</v>
      </c>
      <c r="T145" s="181">
        <v>202255.04</v>
      </c>
      <c r="U145" s="58" t="s">
        <v>191</v>
      </c>
      <c r="V145" s="58"/>
      <c r="W145" s="165"/>
      <c r="X145" s="198"/>
      <c r="Y145" s="198"/>
      <c r="Z145" s="198"/>
      <c r="AA145" s="198">
        <v>1489.89</v>
      </c>
      <c r="AB145" s="198"/>
      <c r="AC145" s="198">
        <v>62906.5</v>
      </c>
      <c r="AD145" s="198">
        <v>19574.060000000001</v>
      </c>
      <c r="AE145" s="198">
        <v>3262.83</v>
      </c>
      <c r="AF145" s="198"/>
      <c r="AG145" s="198"/>
      <c r="AH145" s="198"/>
      <c r="AI145" s="198">
        <v>1141.31</v>
      </c>
      <c r="AJ145" s="198"/>
      <c r="AK145" s="198">
        <f t="shared" si="10"/>
        <v>88374.59</v>
      </c>
      <c r="AL145" s="198">
        <f t="shared" si="9"/>
        <v>0</v>
      </c>
    </row>
    <row r="146" spans="1:44" s="165" customFormat="1" ht="69" hidden="1" x14ac:dyDescent="0.3">
      <c r="A146" s="165">
        <v>146</v>
      </c>
      <c r="B146" s="143" t="s">
        <v>0</v>
      </c>
      <c r="C146" s="138" t="s">
        <v>0</v>
      </c>
      <c r="D146" s="138" t="s">
        <v>218</v>
      </c>
      <c r="E146" s="102" t="s">
        <v>773</v>
      </c>
      <c r="F146" s="102" t="s">
        <v>984</v>
      </c>
      <c r="G146" s="145">
        <v>341</v>
      </c>
      <c r="H146" s="235">
        <v>42069</v>
      </c>
      <c r="I146" s="235">
        <v>46022</v>
      </c>
      <c r="J146" s="236">
        <v>45352</v>
      </c>
      <c r="K146" s="236">
        <v>45535</v>
      </c>
      <c r="L146" s="142" t="s">
        <v>872</v>
      </c>
      <c r="M146" s="184" t="s">
        <v>685</v>
      </c>
      <c r="N146" s="138" t="s">
        <v>215</v>
      </c>
      <c r="O146" s="237">
        <v>45572</v>
      </c>
      <c r="P146" s="138" t="s">
        <v>2</v>
      </c>
      <c r="Q146" s="138" t="s">
        <v>168</v>
      </c>
      <c r="R146" s="138"/>
      <c r="S146" s="317">
        <v>43986</v>
      </c>
      <c r="T146" s="212">
        <v>202255.04</v>
      </c>
      <c r="U146" s="138" t="s">
        <v>191</v>
      </c>
      <c r="V146" s="138"/>
      <c r="X146" s="198"/>
      <c r="Y146" s="198"/>
      <c r="Z146" s="198"/>
      <c r="AA146" s="198">
        <f>100+1743+300</f>
        <v>2143</v>
      </c>
      <c r="AB146" s="198"/>
      <c r="AC146" s="198">
        <f>3500+23406+600+1743+8800</f>
        <v>38049</v>
      </c>
      <c r="AD146" s="198">
        <f>800+249+200+1245+1300</f>
        <v>3794</v>
      </c>
      <c r="AE146" s="198"/>
      <c r="AF146" s="198"/>
      <c r="AG146" s="198"/>
      <c r="AH146" s="198"/>
      <c r="AI146" s="198"/>
      <c r="AJ146" s="198"/>
      <c r="AK146" s="198">
        <f t="shared" si="10"/>
        <v>43986</v>
      </c>
      <c r="AL146" s="198">
        <f t="shared" si="9"/>
        <v>0</v>
      </c>
      <c r="AM146" s="161"/>
      <c r="AN146" s="161"/>
      <c r="AO146" s="161"/>
      <c r="AP146" s="161"/>
      <c r="AQ146" s="161"/>
      <c r="AR146" s="161"/>
    </row>
    <row r="147" spans="1:44" s="109" customFormat="1" ht="69" hidden="1" x14ac:dyDescent="0.3">
      <c r="A147" s="109">
        <v>147</v>
      </c>
      <c r="B147" s="58" t="s">
        <v>17</v>
      </c>
      <c r="C147" s="58" t="s">
        <v>17</v>
      </c>
      <c r="D147" s="58" t="s">
        <v>193</v>
      </c>
      <c r="E147" s="234" t="s">
        <v>923</v>
      </c>
      <c r="F147" s="232" t="s">
        <v>1001</v>
      </c>
      <c r="G147" s="59">
        <v>14</v>
      </c>
      <c r="H147" s="107">
        <v>42425</v>
      </c>
      <c r="I147" s="107">
        <v>46294</v>
      </c>
      <c r="J147" s="107">
        <v>45409</v>
      </c>
      <c r="K147" s="107">
        <v>45499</v>
      </c>
      <c r="L147" s="59" t="s">
        <v>295</v>
      </c>
      <c r="M147" s="179" t="s">
        <v>299</v>
      </c>
      <c r="N147" s="58" t="s">
        <v>1</v>
      </c>
      <c r="O147" s="176">
        <v>45572</v>
      </c>
      <c r="P147" s="58" t="s">
        <v>98</v>
      </c>
      <c r="Q147" s="58"/>
      <c r="R147" s="58"/>
      <c r="S147" s="318">
        <v>17054.2</v>
      </c>
      <c r="T147" s="181">
        <v>17054.2</v>
      </c>
      <c r="U147" s="58" t="s">
        <v>191</v>
      </c>
      <c r="V147" s="58"/>
      <c r="X147" s="247"/>
      <c r="Y147" s="247"/>
      <c r="Z147" s="247"/>
      <c r="AA147" s="247"/>
      <c r="AB147" s="247"/>
      <c r="AC147" s="247">
        <v>5724</v>
      </c>
      <c r="AD147" s="247">
        <v>3695</v>
      </c>
      <c r="AE147" s="247"/>
      <c r="AF147" s="247"/>
      <c r="AG147" s="247">
        <v>6958.4</v>
      </c>
      <c r="AH147" s="247"/>
      <c r="AI147" s="247">
        <v>676.8</v>
      </c>
      <c r="AJ147" s="247"/>
      <c r="AK147" s="247">
        <f t="shared" si="10"/>
        <v>17054.2</v>
      </c>
      <c r="AL147" s="247">
        <f t="shared" si="9"/>
        <v>0</v>
      </c>
      <c r="AM147" s="102"/>
      <c r="AN147" s="102"/>
      <c r="AO147" s="102"/>
      <c r="AP147" s="102"/>
      <c r="AQ147" s="102"/>
      <c r="AR147" s="102"/>
    </row>
    <row r="148" spans="1:44" s="161" customFormat="1" ht="69" hidden="1" x14ac:dyDescent="0.3">
      <c r="A148" s="165">
        <v>148</v>
      </c>
      <c r="B148" s="238" t="s">
        <v>30</v>
      </c>
      <c r="C148" s="238" t="s">
        <v>30</v>
      </c>
      <c r="D148" s="239" t="s">
        <v>241</v>
      </c>
      <c r="E148" s="61" t="s">
        <v>960</v>
      </c>
      <c r="F148" s="139" t="s">
        <v>1000</v>
      </c>
      <c r="G148" s="240">
        <v>539</v>
      </c>
      <c r="H148" s="241">
        <v>41699</v>
      </c>
      <c r="I148" s="241">
        <v>47119</v>
      </c>
      <c r="J148" s="242">
        <v>45474</v>
      </c>
      <c r="K148" s="242">
        <v>45565</v>
      </c>
      <c r="L148" s="243" t="s">
        <v>295</v>
      </c>
      <c r="M148" s="244" t="s">
        <v>959</v>
      </c>
      <c r="N148" s="245" t="s">
        <v>5</v>
      </c>
      <c r="O148" s="246">
        <v>45572</v>
      </c>
      <c r="P148" s="238" t="s">
        <v>2</v>
      </c>
      <c r="Q148" s="238" t="s">
        <v>168</v>
      </c>
      <c r="R148" s="238"/>
      <c r="S148" s="324">
        <v>20000</v>
      </c>
      <c r="T148" s="215"/>
      <c r="U148" s="238"/>
      <c r="V148" s="238"/>
      <c r="W148" s="165"/>
      <c r="X148" s="198"/>
      <c r="Y148" s="198"/>
      <c r="Z148" s="198"/>
      <c r="AA148" s="198"/>
      <c r="AB148" s="198"/>
      <c r="AC148" s="198">
        <v>15000</v>
      </c>
      <c r="AD148" s="198">
        <v>2000</v>
      </c>
      <c r="AE148" s="198">
        <v>3000</v>
      </c>
      <c r="AF148" s="198"/>
      <c r="AG148" s="198"/>
      <c r="AH148" s="198"/>
      <c r="AI148" s="198"/>
      <c r="AJ148" s="198"/>
      <c r="AK148" s="198">
        <f t="shared" si="10"/>
        <v>20000</v>
      </c>
      <c r="AL148" s="198">
        <f t="shared" si="9"/>
        <v>0</v>
      </c>
    </row>
    <row r="149" spans="1:44" s="161" customFormat="1" ht="96.6" hidden="1" x14ac:dyDescent="0.3">
      <c r="A149" s="165">
        <v>149</v>
      </c>
      <c r="B149" s="61" t="s">
        <v>121</v>
      </c>
      <c r="C149" s="61" t="s">
        <v>121</v>
      </c>
      <c r="D149" s="61" t="s">
        <v>228</v>
      </c>
      <c r="E149" s="61" t="s">
        <v>228</v>
      </c>
      <c r="F149" s="24" t="s">
        <v>472</v>
      </c>
      <c r="G149" s="59">
        <v>100</v>
      </c>
      <c r="H149" s="107">
        <v>44967</v>
      </c>
      <c r="I149" s="107">
        <v>46022</v>
      </c>
      <c r="J149" s="107">
        <v>45474</v>
      </c>
      <c r="K149" s="107">
        <v>45565</v>
      </c>
      <c r="L149" s="144" t="s">
        <v>295</v>
      </c>
      <c r="M149" s="61" t="s">
        <v>470</v>
      </c>
      <c r="N149" s="61" t="s">
        <v>1</v>
      </c>
      <c r="O149" s="178">
        <v>45582</v>
      </c>
      <c r="P149" s="61" t="s">
        <v>92</v>
      </c>
      <c r="Q149" s="61"/>
      <c r="R149" s="61"/>
      <c r="S149" s="181">
        <f>SUM(X149:AG149)</f>
        <v>8817.5</v>
      </c>
      <c r="T149" s="181">
        <v>8818.01</v>
      </c>
      <c r="U149" s="61" t="s">
        <v>191</v>
      </c>
      <c r="V149" s="61"/>
      <c r="W149" s="155" t="s">
        <v>232</v>
      </c>
      <c r="X149" s="199">
        <v>1276.0999999999999</v>
      </c>
      <c r="Y149" s="199"/>
      <c r="Z149" s="199"/>
      <c r="AA149" s="199"/>
      <c r="AB149" s="199"/>
      <c r="AC149" s="199">
        <v>7238.57</v>
      </c>
      <c r="AD149" s="199"/>
      <c r="AE149" s="199"/>
      <c r="AF149" s="199"/>
      <c r="AG149" s="199">
        <v>302.83</v>
      </c>
      <c r="AH149" s="199"/>
      <c r="AI149" s="199"/>
      <c r="AJ149" s="199"/>
      <c r="AK149" s="198">
        <f t="shared" si="10"/>
        <v>8817.5</v>
      </c>
      <c r="AL149" s="198">
        <f t="shared" si="9"/>
        <v>0</v>
      </c>
      <c r="AM149" s="165"/>
      <c r="AN149" s="165"/>
      <c r="AO149" s="165"/>
      <c r="AP149" s="165"/>
      <c r="AQ149" s="165"/>
      <c r="AR149" s="165"/>
    </row>
    <row r="150" spans="1:44" s="161" customFormat="1" ht="82.8" hidden="1" x14ac:dyDescent="0.3">
      <c r="A150" s="165">
        <v>150</v>
      </c>
      <c r="B150" s="61" t="s">
        <v>252</v>
      </c>
      <c r="C150" s="61" t="s">
        <v>253</v>
      </c>
      <c r="D150" s="61" t="s">
        <v>255</v>
      </c>
      <c r="E150" s="58" t="s">
        <v>933</v>
      </c>
      <c r="F150" s="58" t="s">
        <v>1011</v>
      </c>
      <c r="G150" s="59">
        <v>64</v>
      </c>
      <c r="H150" s="107">
        <v>45170</v>
      </c>
      <c r="I150" s="107">
        <v>46265</v>
      </c>
      <c r="J150" s="107">
        <v>45170</v>
      </c>
      <c r="K150" s="107">
        <v>45535</v>
      </c>
      <c r="L150" s="144" t="s">
        <v>289</v>
      </c>
      <c r="M150" s="179" t="s">
        <v>401</v>
      </c>
      <c r="N150" s="61" t="s">
        <v>256</v>
      </c>
      <c r="O150" s="178">
        <v>45582</v>
      </c>
      <c r="P150" s="61"/>
      <c r="Q150" s="61"/>
      <c r="R150" s="61"/>
      <c r="S150" s="181">
        <f>12571.54 + 407.62</f>
        <v>12979.160000000002</v>
      </c>
      <c r="T150" s="181">
        <v>12979.16</v>
      </c>
      <c r="U150" s="61" t="s">
        <v>191</v>
      </c>
      <c r="V150" s="61"/>
      <c r="W150" s="155"/>
      <c r="X150" s="199">
        <f>146.78+3.57</f>
        <v>150.35</v>
      </c>
      <c r="Y150" s="199"/>
      <c r="Z150" s="199"/>
      <c r="AA150" s="199">
        <v>444.98</v>
      </c>
      <c r="AB150" s="199"/>
      <c r="AC150" s="199">
        <f>6255.06+1222.93</f>
        <v>7477.9900000000007</v>
      </c>
      <c r="AD150" s="199">
        <v>717.34</v>
      </c>
      <c r="AE150" s="199">
        <f>190.22+51.51</f>
        <v>241.73</v>
      </c>
      <c r="AF150" s="199">
        <v>442.66</v>
      </c>
      <c r="AG150" s="199">
        <v>1268.1300000000001</v>
      </c>
      <c r="AH150" s="199">
        <v>239.24</v>
      </c>
      <c r="AI150" s="199">
        <f>1604.72+392.02</f>
        <v>1996.74</v>
      </c>
      <c r="AJ150" s="199"/>
      <c r="AK150" s="198">
        <f t="shared" si="10"/>
        <v>12979.16</v>
      </c>
      <c r="AL150" s="198">
        <f t="shared" si="9"/>
        <v>0</v>
      </c>
      <c r="AM150" s="165"/>
      <c r="AN150" s="165"/>
      <c r="AO150" s="165"/>
      <c r="AP150" s="165"/>
      <c r="AQ150" s="165"/>
      <c r="AR150" s="165"/>
    </row>
    <row r="151" spans="1:44" s="161" customFormat="1" ht="124.2" hidden="1" x14ac:dyDescent="0.3">
      <c r="A151" s="165">
        <v>151</v>
      </c>
      <c r="B151" s="61" t="s">
        <v>0</v>
      </c>
      <c r="C151" s="58" t="s">
        <v>0</v>
      </c>
      <c r="D151" s="58" t="s">
        <v>229</v>
      </c>
      <c r="E151" s="163" t="s">
        <v>881</v>
      </c>
      <c r="F151" s="231" t="s">
        <v>438</v>
      </c>
      <c r="G151" s="94">
        <v>88</v>
      </c>
      <c r="H151" s="85">
        <v>42591</v>
      </c>
      <c r="I151" s="85">
        <v>45961</v>
      </c>
      <c r="J151" s="107">
        <v>45352</v>
      </c>
      <c r="K151" s="107">
        <v>45473</v>
      </c>
      <c r="L151" s="59" t="s">
        <v>295</v>
      </c>
      <c r="M151" s="174" t="s">
        <v>437</v>
      </c>
      <c r="N151" s="58" t="s">
        <v>270</v>
      </c>
      <c r="O151" s="176">
        <v>45583</v>
      </c>
      <c r="P151" s="58" t="s">
        <v>2</v>
      </c>
      <c r="Q151" s="58" t="s">
        <v>166</v>
      </c>
      <c r="R151" s="58"/>
      <c r="S151" s="316">
        <v>322000</v>
      </c>
      <c r="T151" s="181">
        <v>322000</v>
      </c>
      <c r="U151" s="58" t="s">
        <v>191</v>
      </c>
      <c r="V151" s="58"/>
      <c r="W151" s="165"/>
      <c r="X151" s="198"/>
      <c r="Y151" s="198"/>
      <c r="Z151" s="198"/>
      <c r="AA151" s="198"/>
      <c r="AB151" s="198"/>
      <c r="AC151" s="198"/>
      <c r="AD151" s="198">
        <v>322000</v>
      </c>
      <c r="AE151" s="198"/>
      <c r="AF151" s="198"/>
      <c r="AG151" s="198"/>
      <c r="AH151" s="198"/>
      <c r="AI151" s="198"/>
      <c r="AJ151" s="198"/>
      <c r="AK151" s="198">
        <f t="shared" si="10"/>
        <v>322000</v>
      </c>
      <c r="AL151" s="198">
        <f t="shared" si="9"/>
        <v>0</v>
      </c>
    </row>
    <row r="152" spans="1:44" s="161" customFormat="1" ht="193.2" hidden="1" x14ac:dyDescent="0.3">
      <c r="A152" s="165">
        <v>152</v>
      </c>
      <c r="B152" s="131" t="s">
        <v>103</v>
      </c>
      <c r="C152" s="131" t="s">
        <v>103</v>
      </c>
      <c r="D152" s="58" t="s">
        <v>937</v>
      </c>
      <c r="E152" s="109" t="s">
        <v>869</v>
      </c>
      <c r="F152" s="231" t="s">
        <v>974</v>
      </c>
      <c r="G152" s="94">
        <v>41</v>
      </c>
      <c r="H152" s="85">
        <v>44901</v>
      </c>
      <c r="I152" s="85">
        <v>46721</v>
      </c>
      <c r="J152" s="107">
        <v>45474</v>
      </c>
      <c r="K152" s="107">
        <v>45565</v>
      </c>
      <c r="L152" s="59" t="s">
        <v>295</v>
      </c>
      <c r="M152" s="95" t="s">
        <v>353</v>
      </c>
      <c r="N152" s="131" t="s">
        <v>1</v>
      </c>
      <c r="O152" s="188">
        <v>45595</v>
      </c>
      <c r="P152" s="131" t="s">
        <v>275</v>
      </c>
      <c r="Q152" s="131"/>
      <c r="R152" s="131"/>
      <c r="S152" s="181">
        <v>4234.7299999999996</v>
      </c>
      <c r="T152" s="189">
        <v>4234.7299999999996</v>
      </c>
      <c r="U152" s="131" t="s">
        <v>191</v>
      </c>
      <c r="V152" s="131"/>
      <c r="W152" s="168" t="s">
        <v>730</v>
      </c>
      <c r="X152" s="203"/>
      <c r="Y152" s="203"/>
      <c r="Z152" s="203"/>
      <c r="AA152" s="203"/>
      <c r="AB152" s="203"/>
      <c r="AC152" s="203"/>
      <c r="AD152" s="203">
        <v>4234.7299999999996</v>
      </c>
      <c r="AE152" s="203"/>
      <c r="AF152" s="203"/>
      <c r="AG152" s="203"/>
      <c r="AH152" s="203"/>
      <c r="AI152" s="203"/>
      <c r="AJ152" s="203"/>
      <c r="AK152" s="198">
        <f t="shared" si="10"/>
        <v>4234.7299999999996</v>
      </c>
      <c r="AL152" s="198">
        <f t="shared" si="9"/>
        <v>0</v>
      </c>
      <c r="AM152" s="168"/>
      <c r="AN152" s="168"/>
      <c r="AO152" s="168"/>
      <c r="AP152" s="168"/>
      <c r="AQ152" s="168"/>
      <c r="AR152" s="168"/>
    </row>
    <row r="153" spans="1:44" s="165" customFormat="1" ht="55.2" hidden="1" x14ac:dyDescent="0.3">
      <c r="A153" s="165">
        <v>153</v>
      </c>
      <c r="B153" s="61" t="s">
        <v>30</v>
      </c>
      <c r="C153" s="58" t="s">
        <v>30</v>
      </c>
      <c r="D153" s="58" t="s">
        <v>236</v>
      </c>
      <c r="E153" s="102" t="s">
        <v>903</v>
      </c>
      <c r="F153" s="231" t="s">
        <v>384</v>
      </c>
      <c r="G153" s="266" t="s">
        <v>1100</v>
      </c>
      <c r="H153" s="85">
        <v>41992</v>
      </c>
      <c r="I153" s="85">
        <v>46052</v>
      </c>
      <c r="J153" s="85">
        <v>45474</v>
      </c>
      <c r="K153" s="85">
        <v>45565</v>
      </c>
      <c r="L153" s="94" t="s">
        <v>295</v>
      </c>
      <c r="M153" s="179" t="s">
        <v>383</v>
      </c>
      <c r="N153" s="58" t="s">
        <v>5</v>
      </c>
      <c r="O153" s="176">
        <v>45603</v>
      </c>
      <c r="P153" s="58" t="s">
        <v>2</v>
      </c>
      <c r="Q153" s="58" t="s">
        <v>168</v>
      </c>
      <c r="R153" s="58"/>
      <c r="S153" s="318">
        <v>16231.04</v>
      </c>
      <c r="T153" s="181">
        <v>16231.04</v>
      </c>
      <c r="U153" s="58" t="s">
        <v>233</v>
      </c>
      <c r="V153" s="58"/>
      <c r="X153" s="198"/>
      <c r="Y153" s="198"/>
      <c r="Z153" s="198"/>
      <c r="AA153" s="198"/>
      <c r="AB153" s="198"/>
      <c r="AC153" s="198">
        <v>16231.04</v>
      </c>
      <c r="AD153" s="198"/>
      <c r="AE153" s="198"/>
      <c r="AF153" s="198"/>
      <c r="AG153" s="198"/>
      <c r="AH153" s="198"/>
      <c r="AI153" s="198"/>
      <c r="AJ153" s="198"/>
      <c r="AK153" s="220">
        <f t="shared" si="10"/>
        <v>16231.04</v>
      </c>
      <c r="AL153" s="198">
        <f t="shared" si="9"/>
        <v>0</v>
      </c>
      <c r="AM153" s="161"/>
      <c r="AN153" s="161"/>
      <c r="AO153" s="161"/>
      <c r="AP153" s="161"/>
      <c r="AQ153" s="161"/>
      <c r="AR153" s="161"/>
    </row>
    <row r="154" spans="1:44" s="161" customFormat="1" ht="69" hidden="1" x14ac:dyDescent="0.3">
      <c r="A154" s="165">
        <v>154</v>
      </c>
      <c r="B154" s="61" t="s">
        <v>30</v>
      </c>
      <c r="C154" s="58" t="s">
        <v>30</v>
      </c>
      <c r="D154" s="102" t="s">
        <v>247</v>
      </c>
      <c r="E154" s="102" t="s">
        <v>903</v>
      </c>
      <c r="F154" s="231" t="s">
        <v>384</v>
      </c>
      <c r="G154" s="266" t="s">
        <v>1100</v>
      </c>
      <c r="H154" s="85">
        <v>41992</v>
      </c>
      <c r="I154" s="85">
        <v>46052</v>
      </c>
      <c r="J154" s="85">
        <v>45474</v>
      </c>
      <c r="K154" s="85">
        <v>45565</v>
      </c>
      <c r="L154" s="140" t="s">
        <v>295</v>
      </c>
      <c r="M154" s="174" t="s">
        <v>383</v>
      </c>
      <c r="N154" s="58" t="s">
        <v>246</v>
      </c>
      <c r="O154" s="178">
        <v>45603</v>
      </c>
      <c r="P154" s="58" t="s">
        <v>2</v>
      </c>
      <c r="Q154" s="58" t="s">
        <v>168</v>
      </c>
      <c r="R154" s="58"/>
      <c r="S154" s="318">
        <v>32462.080000000002</v>
      </c>
      <c r="T154" s="181"/>
      <c r="U154" s="58"/>
      <c r="V154" s="58"/>
      <c r="W154" s="165"/>
      <c r="X154" s="198"/>
      <c r="Y154" s="198"/>
      <c r="Z154" s="198"/>
      <c r="AA154" s="198"/>
      <c r="AB154" s="198"/>
      <c r="AC154" s="198">
        <v>32462.080000000002</v>
      </c>
      <c r="AD154" s="198"/>
      <c r="AE154" s="198"/>
      <c r="AF154" s="198"/>
      <c r="AG154" s="198"/>
      <c r="AH154" s="198"/>
      <c r="AI154" s="198"/>
      <c r="AJ154" s="198"/>
      <c r="AK154" s="198">
        <f t="shared" si="10"/>
        <v>32462.080000000002</v>
      </c>
      <c r="AL154" s="198">
        <f t="shared" si="9"/>
        <v>0</v>
      </c>
    </row>
    <row r="155" spans="1:44" s="161" customFormat="1" ht="124.2" hidden="1" x14ac:dyDescent="0.3">
      <c r="A155" s="165">
        <v>155</v>
      </c>
      <c r="B155" s="58" t="s">
        <v>0</v>
      </c>
      <c r="C155" s="58" t="s">
        <v>0</v>
      </c>
      <c r="D155" s="58" t="s">
        <v>234</v>
      </c>
      <c r="E155" s="102" t="s">
        <v>881</v>
      </c>
      <c r="F155" s="231" t="s">
        <v>438</v>
      </c>
      <c r="G155" s="94">
        <v>88</v>
      </c>
      <c r="H155" s="85">
        <v>42591</v>
      </c>
      <c r="I155" s="85">
        <v>45961</v>
      </c>
      <c r="J155" s="107">
        <v>45474</v>
      </c>
      <c r="K155" s="107">
        <v>45565</v>
      </c>
      <c r="L155" s="144" t="s">
        <v>295</v>
      </c>
      <c r="M155" s="190" t="s">
        <v>437</v>
      </c>
      <c r="N155" s="58" t="s">
        <v>1</v>
      </c>
      <c r="O155" s="176">
        <v>45604</v>
      </c>
      <c r="P155" s="58" t="s">
        <v>2</v>
      </c>
      <c r="Q155" s="58" t="s">
        <v>166</v>
      </c>
      <c r="R155" s="58"/>
      <c r="S155" s="316">
        <v>336000</v>
      </c>
      <c r="T155" s="181">
        <v>336000</v>
      </c>
      <c r="U155" s="58" t="s">
        <v>233</v>
      </c>
      <c r="V155" s="58"/>
      <c r="X155" s="198"/>
      <c r="Y155" s="198"/>
      <c r="Z155" s="198"/>
      <c r="AA155" s="198"/>
      <c r="AB155" s="198"/>
      <c r="AC155" s="198"/>
      <c r="AD155" s="198">
        <v>336000</v>
      </c>
      <c r="AE155" s="198"/>
      <c r="AF155" s="198"/>
      <c r="AG155" s="198"/>
      <c r="AH155" s="198"/>
      <c r="AI155" s="198"/>
      <c r="AJ155" s="198"/>
      <c r="AK155" s="198">
        <f t="shared" si="10"/>
        <v>336000</v>
      </c>
      <c r="AL155" s="198">
        <f t="shared" si="9"/>
        <v>0</v>
      </c>
    </row>
    <row r="156" spans="1:44" s="161" customFormat="1" ht="13.8" hidden="1" x14ac:dyDescent="0.3">
      <c r="A156" s="165">
        <v>156</v>
      </c>
      <c r="B156" s="58" t="s">
        <v>237</v>
      </c>
      <c r="C156" s="58" t="s">
        <v>237</v>
      </c>
      <c r="D156" s="102" t="s">
        <v>956</v>
      </c>
      <c r="E156" s="102" t="s">
        <v>815</v>
      </c>
      <c r="F156" s="231" t="s">
        <v>975</v>
      </c>
      <c r="G156" s="113">
        <v>529</v>
      </c>
      <c r="H156" s="84">
        <v>44743</v>
      </c>
      <c r="I156" s="84">
        <v>46022</v>
      </c>
      <c r="J156" s="85">
        <v>45536</v>
      </c>
      <c r="K156" s="85">
        <v>45565</v>
      </c>
      <c r="L156" s="83" t="s">
        <v>337</v>
      </c>
      <c r="M156" s="86" t="s">
        <v>793</v>
      </c>
      <c r="N156" s="157" t="s">
        <v>1</v>
      </c>
      <c r="O156" s="176">
        <v>45608</v>
      </c>
      <c r="P156" s="58" t="s">
        <v>275</v>
      </c>
      <c r="Q156" s="58"/>
      <c r="R156" s="58"/>
      <c r="S156" s="189">
        <v>3688.95</v>
      </c>
      <c r="T156" s="181">
        <v>3688.95</v>
      </c>
      <c r="U156" s="58" t="s">
        <v>233</v>
      </c>
      <c r="V156" s="58"/>
      <c r="X156" s="198">
        <v>235.92</v>
      </c>
      <c r="Y156" s="198">
        <v>42.77</v>
      </c>
      <c r="Z156" s="198">
        <v>47.67</v>
      </c>
      <c r="AA156" s="198">
        <v>277.60000000000002</v>
      </c>
      <c r="AB156" s="198">
        <v>34.83</v>
      </c>
      <c r="AC156" s="198">
        <v>1443.01</v>
      </c>
      <c r="AD156" s="198">
        <v>438.9</v>
      </c>
      <c r="AE156" s="198">
        <v>183.09</v>
      </c>
      <c r="AF156" s="198">
        <v>91.09</v>
      </c>
      <c r="AG156" s="198">
        <v>591.62</v>
      </c>
      <c r="AH156" s="198">
        <v>14.36</v>
      </c>
      <c r="AI156" s="198">
        <v>274.67</v>
      </c>
      <c r="AJ156" s="198">
        <v>13.42</v>
      </c>
      <c r="AK156" s="198">
        <f t="shared" si="10"/>
        <v>3688.9500000000007</v>
      </c>
      <c r="AL156" s="203">
        <f t="shared" si="9"/>
        <v>0</v>
      </c>
    </row>
    <row r="157" spans="1:44" s="161" customFormat="1" ht="289.8" hidden="1" x14ac:dyDescent="0.3">
      <c r="A157" s="165">
        <v>157</v>
      </c>
      <c r="B157" s="61" t="s">
        <v>248</v>
      </c>
      <c r="C157" s="61" t="s">
        <v>114</v>
      </c>
      <c r="D157" s="61" t="s">
        <v>260</v>
      </c>
      <c r="E157" s="138" t="s">
        <v>914</v>
      </c>
      <c r="F157" s="231" t="s">
        <v>329</v>
      </c>
      <c r="G157" s="94">
        <v>32</v>
      </c>
      <c r="H157" s="85">
        <v>43067</v>
      </c>
      <c r="I157" s="85">
        <v>45989</v>
      </c>
      <c r="J157" s="85">
        <v>45474</v>
      </c>
      <c r="K157" s="85">
        <v>45565</v>
      </c>
      <c r="L157" s="137" t="s">
        <v>295</v>
      </c>
      <c r="M157" s="109" t="s">
        <v>898</v>
      </c>
      <c r="N157" s="61" t="s">
        <v>1</v>
      </c>
      <c r="O157" s="178">
        <v>45608</v>
      </c>
      <c r="P157" s="61" t="s">
        <v>92</v>
      </c>
      <c r="Q157" s="61"/>
      <c r="R157" s="58"/>
      <c r="S157" s="180">
        <v>1132901.3999999999</v>
      </c>
      <c r="T157" s="181">
        <v>1132901.3999999999</v>
      </c>
      <c r="U157" s="61" t="s">
        <v>233</v>
      </c>
      <c r="V157" s="61"/>
      <c r="W157" s="165" t="s">
        <v>261</v>
      </c>
      <c r="X157" s="199">
        <v>31008.52</v>
      </c>
      <c r="Y157" s="199">
        <v>8046.55</v>
      </c>
      <c r="Z157" s="199"/>
      <c r="AA157" s="199">
        <v>4497.2</v>
      </c>
      <c r="AB157" s="199"/>
      <c r="AC157" s="199">
        <f>875000+37500+93497.79</f>
        <v>1005997.79</v>
      </c>
      <c r="AD157" s="199">
        <v>39951.18</v>
      </c>
      <c r="AE157" s="199">
        <v>9260.6</v>
      </c>
      <c r="AF157" s="199"/>
      <c r="AG157" s="199">
        <v>32869.800000000003</v>
      </c>
      <c r="AH157" s="199">
        <v>1269.76</v>
      </c>
      <c r="AI157" s="199"/>
      <c r="AJ157" s="199"/>
      <c r="AK157" s="181">
        <f>1132901.4-875000</f>
        <v>257901.39999999991</v>
      </c>
      <c r="AL157" s="199">
        <f t="shared" si="9"/>
        <v>-875000</v>
      </c>
      <c r="AM157" s="165"/>
      <c r="AN157" s="165"/>
      <c r="AO157" s="165"/>
      <c r="AP157" s="165"/>
      <c r="AQ157" s="165"/>
      <c r="AR157" s="165"/>
    </row>
    <row r="158" spans="1:44" s="161" customFormat="1" ht="138" hidden="1" x14ac:dyDescent="0.3">
      <c r="A158" s="165">
        <v>158</v>
      </c>
      <c r="B158" s="58" t="s">
        <v>10</v>
      </c>
      <c r="C158" s="58" t="s">
        <v>10</v>
      </c>
      <c r="D158" s="58" t="s">
        <v>242</v>
      </c>
      <c r="E158" s="102" t="s">
        <v>875</v>
      </c>
      <c r="F158" s="102" t="s">
        <v>982</v>
      </c>
      <c r="G158" s="94">
        <v>101</v>
      </c>
      <c r="H158" s="85">
        <v>42881</v>
      </c>
      <c r="I158" s="85">
        <v>46112</v>
      </c>
      <c r="J158" s="85">
        <v>45474</v>
      </c>
      <c r="K158" s="85">
        <v>45565</v>
      </c>
      <c r="L158" s="145" t="s">
        <v>295</v>
      </c>
      <c r="M158" s="186" t="s">
        <v>475</v>
      </c>
      <c r="N158" s="58" t="s">
        <v>243</v>
      </c>
      <c r="O158" s="176">
        <v>45610</v>
      </c>
      <c r="P158" s="58" t="s">
        <v>2</v>
      </c>
      <c r="Q158" s="58" t="s">
        <v>168</v>
      </c>
      <c r="R158" s="58"/>
      <c r="S158" s="181">
        <v>216000</v>
      </c>
      <c r="T158" s="181">
        <v>216000</v>
      </c>
      <c r="U158" s="58" t="s">
        <v>233</v>
      </c>
      <c r="V158" s="58"/>
      <c r="X158" s="198"/>
      <c r="Y158" s="198"/>
      <c r="Z158" s="198"/>
      <c r="AA158" s="198"/>
      <c r="AB158" s="198"/>
      <c r="AC158" s="198">
        <v>216000</v>
      </c>
      <c r="AD158" s="198"/>
      <c r="AE158" s="198"/>
      <c r="AF158" s="198"/>
      <c r="AG158" s="198"/>
      <c r="AH158" s="198"/>
      <c r="AI158" s="198"/>
      <c r="AJ158" s="198"/>
      <c r="AK158" s="198">
        <f t="shared" ref="AK158:AK175" si="11">SUM(X158:AJ158)</f>
        <v>216000</v>
      </c>
      <c r="AL158" s="198">
        <f t="shared" si="9"/>
        <v>0</v>
      </c>
    </row>
    <row r="159" spans="1:44" s="161" customFormat="1" ht="372.6" hidden="1" x14ac:dyDescent="0.3">
      <c r="A159" s="165">
        <v>159</v>
      </c>
      <c r="B159" s="61" t="s">
        <v>30</v>
      </c>
      <c r="C159" s="58" t="s">
        <v>30</v>
      </c>
      <c r="D159" s="58" t="s">
        <v>238</v>
      </c>
      <c r="E159" s="102" t="s">
        <v>874</v>
      </c>
      <c r="F159" s="231" t="s">
        <v>381</v>
      </c>
      <c r="G159" s="94">
        <v>175</v>
      </c>
      <c r="H159" s="85">
        <v>42061</v>
      </c>
      <c r="I159" s="85">
        <v>46446</v>
      </c>
      <c r="J159" s="85">
        <v>45474</v>
      </c>
      <c r="K159" s="85">
        <v>45565</v>
      </c>
      <c r="L159" s="94" t="s">
        <v>295</v>
      </c>
      <c r="M159" s="184" t="s">
        <v>380</v>
      </c>
      <c r="N159" s="58" t="s">
        <v>5</v>
      </c>
      <c r="O159" s="178">
        <v>45610</v>
      </c>
      <c r="P159" s="58" t="s">
        <v>2</v>
      </c>
      <c r="Q159" s="58" t="s">
        <v>168</v>
      </c>
      <c r="R159" s="58"/>
      <c r="S159" s="318">
        <v>48000</v>
      </c>
      <c r="T159" s="181"/>
      <c r="U159" s="58" t="s">
        <v>233</v>
      </c>
      <c r="V159" s="58"/>
      <c r="W159" s="165"/>
      <c r="X159" s="198"/>
      <c r="Y159" s="198"/>
      <c r="Z159" s="198"/>
      <c r="AA159" s="198"/>
      <c r="AB159" s="198"/>
      <c r="AC159" s="198">
        <v>30000</v>
      </c>
      <c r="AD159" s="198">
        <v>18000</v>
      </c>
      <c r="AE159" s="198"/>
      <c r="AF159" s="198"/>
      <c r="AG159" s="198"/>
      <c r="AH159" s="198"/>
      <c r="AI159" s="198"/>
      <c r="AJ159" s="198"/>
      <c r="AK159" s="198">
        <f t="shared" si="11"/>
        <v>48000</v>
      </c>
      <c r="AL159" s="198">
        <f t="shared" si="9"/>
        <v>0</v>
      </c>
    </row>
    <row r="160" spans="1:44" s="161" customFormat="1" ht="41.4" hidden="1" x14ac:dyDescent="0.3">
      <c r="A160" s="165">
        <v>160</v>
      </c>
      <c r="B160" s="61" t="s">
        <v>30</v>
      </c>
      <c r="C160" s="58" t="s">
        <v>30</v>
      </c>
      <c r="D160" s="131" t="s">
        <v>239</v>
      </c>
      <c r="E160" s="60" t="s">
        <v>948</v>
      </c>
      <c r="F160" s="60" t="s">
        <v>1105</v>
      </c>
      <c r="G160" s="60">
        <v>172</v>
      </c>
      <c r="H160" s="193">
        <v>45292</v>
      </c>
      <c r="I160" s="193">
        <v>46053</v>
      </c>
      <c r="J160" s="85">
        <v>45383</v>
      </c>
      <c r="K160" s="85">
        <v>45473</v>
      </c>
      <c r="L160" s="140" t="s">
        <v>295</v>
      </c>
      <c r="M160" s="86" t="s">
        <v>386</v>
      </c>
      <c r="N160" s="157" t="s">
        <v>5</v>
      </c>
      <c r="O160" s="178">
        <v>45610</v>
      </c>
      <c r="P160" s="58" t="s">
        <v>2</v>
      </c>
      <c r="Q160" s="58" t="s">
        <v>168</v>
      </c>
      <c r="R160" s="58"/>
      <c r="S160" s="318">
        <v>23200</v>
      </c>
      <c r="T160" s="212"/>
      <c r="U160" s="58" t="s">
        <v>233</v>
      </c>
      <c r="V160" s="58"/>
      <c r="W160" s="165" t="s">
        <v>1106</v>
      </c>
      <c r="X160" s="198"/>
      <c r="Y160" s="198"/>
      <c r="Z160" s="198"/>
      <c r="AA160" s="198"/>
      <c r="AB160" s="198"/>
      <c r="AC160" s="198">
        <v>12000</v>
      </c>
      <c r="AD160" s="198">
        <v>6400</v>
      </c>
      <c r="AE160" s="198">
        <v>4000</v>
      </c>
      <c r="AF160" s="198"/>
      <c r="AG160" s="198"/>
      <c r="AH160" s="198"/>
      <c r="AI160" s="198">
        <v>800</v>
      </c>
      <c r="AJ160" s="198"/>
      <c r="AK160" s="198">
        <f t="shared" si="11"/>
        <v>23200</v>
      </c>
      <c r="AL160" s="198">
        <f t="shared" si="9"/>
        <v>0</v>
      </c>
    </row>
    <row r="161" spans="1:44" s="161" customFormat="1" ht="41.4" hidden="1" x14ac:dyDescent="0.3">
      <c r="A161" s="165">
        <v>161</v>
      </c>
      <c r="B161" s="61" t="s">
        <v>30</v>
      </c>
      <c r="C161" s="58" t="s">
        <v>30</v>
      </c>
      <c r="D161" s="131" t="s">
        <v>240</v>
      </c>
      <c r="E161" s="60" t="s">
        <v>948</v>
      </c>
      <c r="F161" s="264" t="s">
        <v>1105</v>
      </c>
      <c r="G161" s="60">
        <v>172</v>
      </c>
      <c r="H161" s="193">
        <v>45292</v>
      </c>
      <c r="I161" s="193">
        <v>46053</v>
      </c>
      <c r="J161" s="85">
        <v>45474</v>
      </c>
      <c r="K161" s="85">
        <v>45565</v>
      </c>
      <c r="L161" s="140" t="s">
        <v>295</v>
      </c>
      <c r="M161" s="86" t="s">
        <v>386</v>
      </c>
      <c r="N161" s="157" t="s">
        <v>5</v>
      </c>
      <c r="O161" s="178">
        <v>45610</v>
      </c>
      <c r="P161" s="58" t="s">
        <v>2</v>
      </c>
      <c r="Q161" s="58" t="s">
        <v>168</v>
      </c>
      <c r="R161" s="58"/>
      <c r="S161" s="318">
        <v>5200</v>
      </c>
      <c r="T161" s="212"/>
      <c r="U161" s="58" t="s">
        <v>233</v>
      </c>
      <c r="V161" s="58"/>
      <c r="W161" s="165" t="s">
        <v>1106</v>
      </c>
      <c r="X161" s="198"/>
      <c r="Y161" s="198"/>
      <c r="Z161" s="198"/>
      <c r="AA161" s="198"/>
      <c r="AB161" s="198"/>
      <c r="AC161" s="198">
        <v>2800</v>
      </c>
      <c r="AD161" s="198">
        <v>2000</v>
      </c>
      <c r="AE161" s="198"/>
      <c r="AF161" s="198"/>
      <c r="AG161" s="198"/>
      <c r="AH161" s="198"/>
      <c r="AI161" s="198">
        <v>400</v>
      </c>
      <c r="AJ161" s="198"/>
      <c r="AK161" s="198">
        <f t="shared" si="11"/>
        <v>5200</v>
      </c>
      <c r="AL161" s="198">
        <f t="shared" si="9"/>
        <v>0</v>
      </c>
    </row>
    <row r="162" spans="1:44" s="161" customFormat="1" ht="151.80000000000001" hidden="1" x14ac:dyDescent="0.3">
      <c r="A162" s="165">
        <v>162</v>
      </c>
      <c r="B162" s="61" t="s">
        <v>96</v>
      </c>
      <c r="C162" s="61" t="s">
        <v>230</v>
      </c>
      <c r="D162" s="58" t="s">
        <v>276</v>
      </c>
      <c r="E162" s="61" t="s">
        <v>932</v>
      </c>
      <c r="F162" s="231" t="s">
        <v>372</v>
      </c>
      <c r="G162" s="59">
        <v>46</v>
      </c>
      <c r="H162" s="107">
        <v>43839</v>
      </c>
      <c r="I162" s="107">
        <v>46052</v>
      </c>
      <c r="J162" s="107">
        <v>45292</v>
      </c>
      <c r="K162" s="107">
        <v>45565</v>
      </c>
      <c r="L162" s="144" t="s">
        <v>295</v>
      </c>
      <c r="M162" s="174" t="s">
        <v>371</v>
      </c>
      <c r="N162" s="58" t="s">
        <v>1</v>
      </c>
      <c r="O162" s="178">
        <v>45611</v>
      </c>
      <c r="P162" s="58" t="s">
        <v>98</v>
      </c>
      <c r="Q162" s="58"/>
      <c r="R162" s="58"/>
      <c r="S162" s="181">
        <v>108500</v>
      </c>
      <c r="T162" s="181">
        <v>108500</v>
      </c>
      <c r="U162" s="58" t="s">
        <v>233</v>
      </c>
      <c r="V162" s="58"/>
      <c r="W162" s="165" t="s">
        <v>962</v>
      </c>
      <c r="X162" s="198"/>
      <c r="Y162" s="198"/>
      <c r="Z162" s="198"/>
      <c r="AA162" s="198"/>
      <c r="AB162" s="198"/>
      <c r="AC162" s="198">
        <v>108500</v>
      </c>
      <c r="AD162" s="198"/>
      <c r="AE162" s="198"/>
      <c r="AF162" s="198"/>
      <c r="AG162" s="198"/>
      <c r="AH162" s="198"/>
      <c r="AI162" s="198"/>
      <c r="AJ162" s="198"/>
      <c r="AK162" s="198">
        <f t="shared" si="11"/>
        <v>108500</v>
      </c>
      <c r="AL162" s="198">
        <f t="shared" ref="AL162:AL179" si="12">AK162-S162</f>
        <v>0</v>
      </c>
    </row>
    <row r="163" spans="1:44" s="161" customFormat="1" ht="27.6" hidden="1" x14ac:dyDescent="0.3">
      <c r="A163" s="165">
        <v>163</v>
      </c>
      <c r="B163" s="58" t="s">
        <v>123</v>
      </c>
      <c r="C163" s="58" t="s">
        <v>124</v>
      </c>
      <c r="D163" s="58" t="s">
        <v>1097</v>
      </c>
      <c r="E163" s="61" t="s">
        <v>785</v>
      </c>
      <c r="F163" s="265" t="s">
        <v>495</v>
      </c>
      <c r="G163" s="59">
        <v>106</v>
      </c>
      <c r="H163" s="107">
        <v>43617</v>
      </c>
      <c r="I163" s="107">
        <v>47269</v>
      </c>
      <c r="J163" s="107">
        <v>45474</v>
      </c>
      <c r="K163" s="107">
        <v>45565</v>
      </c>
      <c r="L163" s="144" t="s">
        <v>295</v>
      </c>
      <c r="M163" s="179" t="s">
        <v>281</v>
      </c>
      <c r="N163" s="58" t="s">
        <v>1</v>
      </c>
      <c r="O163" s="178">
        <v>45615</v>
      </c>
      <c r="P163" s="58" t="s">
        <v>101</v>
      </c>
      <c r="Q163" s="58"/>
      <c r="R163" s="58"/>
      <c r="S163" s="181">
        <v>25055.37</v>
      </c>
      <c r="T163" s="212">
        <v>25055.37</v>
      </c>
      <c r="U163" s="58" t="s">
        <v>233</v>
      </c>
      <c r="V163" s="58"/>
      <c r="W163" s="165" t="s">
        <v>257</v>
      </c>
      <c r="X163" s="198"/>
      <c r="Y163" s="198"/>
      <c r="Z163" s="198"/>
      <c r="AA163" s="198"/>
      <c r="AB163" s="198"/>
      <c r="AC163" s="198">
        <v>25055.37</v>
      </c>
      <c r="AD163" s="198"/>
      <c r="AE163" s="198"/>
      <c r="AF163" s="198"/>
      <c r="AG163" s="198"/>
      <c r="AH163" s="198"/>
      <c r="AI163" s="198"/>
      <c r="AJ163" s="198"/>
      <c r="AK163" s="198">
        <f t="shared" si="11"/>
        <v>25055.37</v>
      </c>
      <c r="AL163" s="198">
        <f t="shared" si="12"/>
        <v>0</v>
      </c>
    </row>
    <row r="164" spans="1:44" s="161" customFormat="1" ht="303.60000000000002" hidden="1" x14ac:dyDescent="0.3">
      <c r="A164" s="165">
        <v>164</v>
      </c>
      <c r="B164" s="58" t="s">
        <v>107</v>
      </c>
      <c r="C164" s="58" t="s">
        <v>107</v>
      </c>
      <c r="D164" s="58" t="s">
        <v>265</v>
      </c>
      <c r="E164" s="61" t="s">
        <v>787</v>
      </c>
      <c r="F164" s="231" t="s">
        <v>503</v>
      </c>
      <c r="G164" s="94">
        <v>248</v>
      </c>
      <c r="H164" s="85">
        <v>44699</v>
      </c>
      <c r="I164" s="85">
        <v>46524</v>
      </c>
      <c r="J164" s="107">
        <v>45474</v>
      </c>
      <c r="K164" s="107">
        <v>45565</v>
      </c>
      <c r="L164" s="140" t="s">
        <v>295</v>
      </c>
      <c r="M164" s="177" t="s">
        <v>502</v>
      </c>
      <c r="N164" s="58" t="s">
        <v>1</v>
      </c>
      <c r="O164" s="178">
        <v>45615</v>
      </c>
      <c r="P164" s="58" t="s">
        <v>101</v>
      </c>
      <c r="Q164" s="58"/>
      <c r="R164" s="58"/>
      <c r="S164" s="181">
        <v>478831.46</v>
      </c>
      <c r="T164" s="212">
        <v>671486.53</v>
      </c>
      <c r="U164" s="58" t="s">
        <v>233</v>
      </c>
      <c r="V164" s="58"/>
      <c r="X164" s="198">
        <v>15281.99</v>
      </c>
      <c r="Y164" s="198">
        <v>12874.59</v>
      </c>
      <c r="Z164" s="198"/>
      <c r="AA164" s="198">
        <v>17698.43</v>
      </c>
      <c r="AB164" s="201">
        <v>3045</v>
      </c>
      <c r="AC164" s="198">
        <v>233030.91</v>
      </c>
      <c r="AD164" s="198">
        <f>1619.51+49762.55</f>
        <v>51382.060000000005</v>
      </c>
      <c r="AE164" s="198">
        <v>29304.92</v>
      </c>
      <c r="AF164" s="198">
        <v>7772.34</v>
      </c>
      <c r="AG164" s="198">
        <v>62178.64</v>
      </c>
      <c r="AH164" s="198">
        <v>6042.17</v>
      </c>
      <c r="AI164" s="198">
        <v>40220.410000000003</v>
      </c>
      <c r="AJ164" s="198"/>
      <c r="AK164" s="198">
        <f t="shared" si="11"/>
        <v>478831.45999999996</v>
      </c>
      <c r="AL164" s="198">
        <f t="shared" si="12"/>
        <v>0</v>
      </c>
    </row>
    <row r="165" spans="1:44" s="161" customFormat="1" ht="303.60000000000002" hidden="1" x14ac:dyDescent="0.3">
      <c r="A165" s="165">
        <v>165</v>
      </c>
      <c r="B165" s="58" t="s">
        <v>107</v>
      </c>
      <c r="C165" s="58" t="s">
        <v>107</v>
      </c>
      <c r="D165" s="58" t="s">
        <v>266</v>
      </c>
      <c r="E165" s="61" t="s">
        <v>787</v>
      </c>
      <c r="F165" s="231" t="s">
        <v>503</v>
      </c>
      <c r="G165" s="94">
        <v>109</v>
      </c>
      <c r="H165" s="85">
        <v>44699</v>
      </c>
      <c r="I165" s="85">
        <v>46524</v>
      </c>
      <c r="J165" s="107">
        <v>45474</v>
      </c>
      <c r="K165" s="107">
        <v>45565</v>
      </c>
      <c r="L165" s="140" t="s">
        <v>295</v>
      </c>
      <c r="M165" s="177" t="s">
        <v>502</v>
      </c>
      <c r="N165" s="58" t="s">
        <v>1</v>
      </c>
      <c r="O165" s="178">
        <v>45615</v>
      </c>
      <c r="P165" s="58" t="s">
        <v>101</v>
      </c>
      <c r="Q165" s="58"/>
      <c r="R165" s="58"/>
      <c r="S165" s="181">
        <v>75813.570000000007</v>
      </c>
      <c r="T165" s="212">
        <v>671486.53</v>
      </c>
      <c r="U165" s="58" t="s">
        <v>233</v>
      </c>
      <c r="V165" s="58"/>
      <c r="X165" s="198">
        <v>406.68</v>
      </c>
      <c r="Y165" s="198">
        <v>579.83000000000004</v>
      </c>
      <c r="Z165" s="198"/>
      <c r="AA165" s="198">
        <v>989.08</v>
      </c>
      <c r="AB165" s="198"/>
      <c r="AC165" s="198">
        <v>44835.27</v>
      </c>
      <c r="AD165" s="198">
        <v>4979.67</v>
      </c>
      <c r="AE165" s="198">
        <v>3579.13</v>
      </c>
      <c r="AF165" s="198">
        <v>1841.5</v>
      </c>
      <c r="AG165" s="198">
        <v>8953.08</v>
      </c>
      <c r="AH165" s="198">
        <v>2009.25</v>
      </c>
      <c r="AI165" s="198">
        <v>7640.08</v>
      </c>
      <c r="AJ165" s="198"/>
      <c r="AK165" s="198">
        <f t="shared" si="11"/>
        <v>75813.569999999992</v>
      </c>
      <c r="AL165" s="198">
        <f t="shared" si="12"/>
        <v>0</v>
      </c>
    </row>
    <row r="166" spans="1:44" s="165" customFormat="1" ht="303.60000000000002" hidden="1" x14ac:dyDescent="0.3">
      <c r="A166" s="165">
        <v>166</v>
      </c>
      <c r="B166" s="58" t="s">
        <v>107</v>
      </c>
      <c r="C166" s="58" t="s">
        <v>107</v>
      </c>
      <c r="D166" s="61" t="s">
        <v>267</v>
      </c>
      <c r="E166" s="61" t="s">
        <v>787</v>
      </c>
      <c r="F166" s="231" t="s">
        <v>503</v>
      </c>
      <c r="G166" s="59">
        <v>193</v>
      </c>
      <c r="H166" s="85">
        <v>44699</v>
      </c>
      <c r="I166" s="85">
        <v>46524</v>
      </c>
      <c r="J166" s="107">
        <v>45474</v>
      </c>
      <c r="K166" s="107">
        <v>45565</v>
      </c>
      <c r="L166" s="94" t="s">
        <v>295</v>
      </c>
      <c r="M166" s="177" t="s">
        <v>502</v>
      </c>
      <c r="N166" s="58" t="s">
        <v>1</v>
      </c>
      <c r="O166" s="178">
        <v>45615</v>
      </c>
      <c r="P166" s="58" t="s">
        <v>101</v>
      </c>
      <c r="Q166" s="58"/>
      <c r="R166" s="58"/>
      <c r="S166" s="181">
        <v>9116.1200000000008</v>
      </c>
      <c r="T166" s="181">
        <v>671486.53</v>
      </c>
      <c r="U166" s="58" t="s">
        <v>233</v>
      </c>
      <c r="V166" s="58"/>
      <c r="W166" s="161"/>
      <c r="X166" s="198">
        <v>12853.94</v>
      </c>
      <c r="Y166" s="198">
        <v>1780.21</v>
      </c>
      <c r="Z166" s="198"/>
      <c r="AA166" s="198">
        <v>1892.94</v>
      </c>
      <c r="AB166" s="198">
        <v>2730.55</v>
      </c>
      <c r="AC166" s="198">
        <v>-67612.89</v>
      </c>
      <c r="AD166" s="198">
        <f>13559.97+882.49</f>
        <v>14442.46</v>
      </c>
      <c r="AE166" s="198">
        <v>9613.06</v>
      </c>
      <c r="AF166" s="198">
        <v>3417.96</v>
      </c>
      <c r="AG166" s="198">
        <v>22934.95</v>
      </c>
      <c r="AH166" s="198">
        <v>-1807.47</v>
      </c>
      <c r="AI166" s="198">
        <v>8870.41</v>
      </c>
      <c r="AJ166" s="198"/>
      <c r="AK166" s="198">
        <f t="shared" si="11"/>
        <v>9116.1199999999972</v>
      </c>
      <c r="AL166" s="198">
        <f t="shared" si="12"/>
        <v>0</v>
      </c>
      <c r="AM166" s="161"/>
      <c r="AN166" s="161"/>
      <c r="AO166" s="161"/>
      <c r="AP166" s="161"/>
      <c r="AQ166" s="161"/>
      <c r="AR166" s="161"/>
    </row>
    <row r="167" spans="1:44" s="161" customFormat="1" ht="27.6" hidden="1" x14ac:dyDescent="0.3">
      <c r="A167" s="165">
        <v>167</v>
      </c>
      <c r="B167" s="58" t="s">
        <v>107</v>
      </c>
      <c r="C167" s="58" t="s">
        <v>107</v>
      </c>
      <c r="D167" s="58" t="s">
        <v>268</v>
      </c>
      <c r="E167" s="61" t="s">
        <v>788</v>
      </c>
      <c r="F167" s="231" t="s">
        <v>514</v>
      </c>
      <c r="G167" s="94">
        <v>116</v>
      </c>
      <c r="H167" s="85">
        <v>44508</v>
      </c>
      <c r="I167" s="85">
        <v>46022</v>
      </c>
      <c r="J167" s="107">
        <v>45474</v>
      </c>
      <c r="K167" s="107">
        <v>45565</v>
      </c>
      <c r="L167" s="94" t="s">
        <v>295</v>
      </c>
      <c r="M167" s="179" t="s">
        <v>513</v>
      </c>
      <c r="N167" s="58" t="s">
        <v>1</v>
      </c>
      <c r="O167" s="178">
        <v>45615</v>
      </c>
      <c r="P167" s="58" t="s">
        <v>101</v>
      </c>
      <c r="Q167" s="58"/>
      <c r="R167" s="58"/>
      <c r="S167" s="181">
        <v>15845</v>
      </c>
      <c r="T167" s="181">
        <v>671486.53</v>
      </c>
      <c r="U167" s="58" t="s">
        <v>233</v>
      </c>
      <c r="V167" s="58"/>
      <c r="X167" s="198">
        <f>317.28+103.35</f>
        <v>420.63</v>
      </c>
      <c r="Y167" s="198">
        <v>30.21</v>
      </c>
      <c r="Z167" s="198">
        <f>8.8+19.08</f>
        <v>27.88</v>
      </c>
      <c r="AA167" s="198">
        <f>1224.3+125.61</f>
        <v>1349.9099999999999</v>
      </c>
      <c r="AB167" s="201">
        <f>1.59+1.59+11.13</f>
        <v>14.31</v>
      </c>
      <c r="AC167" s="198">
        <f>1.59+3617.52+1280.06+3.75+248.04+399.09+3.18</f>
        <v>5553.2300000000005</v>
      </c>
      <c r="AD167" s="198">
        <f>3608.04+98.58+922.2</f>
        <v>4628.82</v>
      </c>
      <c r="AE167" s="198">
        <f>39.75+1006.47</f>
        <v>1046.22</v>
      </c>
      <c r="AF167" s="198">
        <f>8.98+2.85</f>
        <v>11.83</v>
      </c>
      <c r="AG167" s="198">
        <f>742.66+38.16+209.88</f>
        <v>990.69999999999993</v>
      </c>
      <c r="AH167" s="198">
        <v>20.67</v>
      </c>
      <c r="AI167" s="198">
        <v>1750.59</v>
      </c>
      <c r="AJ167" s="198"/>
      <c r="AK167" s="198">
        <f t="shared" si="11"/>
        <v>15845</v>
      </c>
      <c r="AL167" s="198">
        <f t="shared" si="12"/>
        <v>0</v>
      </c>
    </row>
    <row r="168" spans="1:44" s="165" customFormat="1" ht="234.6" hidden="1" x14ac:dyDescent="0.3">
      <c r="A168" s="165">
        <v>168</v>
      </c>
      <c r="B168" s="58" t="s">
        <v>107</v>
      </c>
      <c r="C168" s="58" t="s">
        <v>107</v>
      </c>
      <c r="D168" s="58" t="s">
        <v>269</v>
      </c>
      <c r="E168" s="58" t="s">
        <v>789</v>
      </c>
      <c r="F168" s="231" t="s">
        <v>511</v>
      </c>
      <c r="G168" s="94">
        <v>115</v>
      </c>
      <c r="H168" s="85">
        <v>45002</v>
      </c>
      <c r="I168" s="85">
        <v>45930</v>
      </c>
      <c r="J168" s="107">
        <v>45474</v>
      </c>
      <c r="K168" s="107">
        <v>45565</v>
      </c>
      <c r="L168" s="94" t="s">
        <v>295</v>
      </c>
      <c r="M168" s="150" t="s">
        <v>510</v>
      </c>
      <c r="N168" s="58" t="s">
        <v>1</v>
      </c>
      <c r="O168" s="178">
        <v>45615</v>
      </c>
      <c r="P168" s="58" t="s">
        <v>101</v>
      </c>
      <c r="Q168" s="58"/>
      <c r="R168" s="58"/>
      <c r="S168" s="181">
        <v>39761.11</v>
      </c>
      <c r="T168" s="181">
        <v>671486.53</v>
      </c>
      <c r="U168" s="58" t="s">
        <v>233</v>
      </c>
      <c r="V168" s="58"/>
      <c r="W168" s="161"/>
      <c r="X168" s="198">
        <f>53.12+518.11+970.1</f>
        <v>1541.33</v>
      </c>
      <c r="Y168" s="198">
        <f>1142.04+53.12</f>
        <v>1195.1599999999999</v>
      </c>
      <c r="Z168" s="198"/>
      <c r="AA168" s="198">
        <f>610.88+53.12+1126.05</f>
        <v>1790.05</v>
      </c>
      <c r="AB168" s="198">
        <f>106.24+132.8+26.56+26.56</f>
        <v>292.16000000000003</v>
      </c>
      <c r="AC168" s="198">
        <f>4304.21+79.68+12986.09+26.56</f>
        <v>17396.54</v>
      </c>
      <c r="AD168" s="198">
        <f>132.8+3134.5</f>
        <v>3267.3</v>
      </c>
      <c r="AE168" s="198">
        <f>1142.05+2564.2</f>
        <v>3706.25</v>
      </c>
      <c r="AF168" s="198">
        <f>126.58+776.27</f>
        <v>902.85</v>
      </c>
      <c r="AG168" s="198">
        <f>26.56+3268.77</f>
        <v>3295.33</v>
      </c>
      <c r="AH168" s="198">
        <v>79.680000000000007</v>
      </c>
      <c r="AI168" s="198">
        <v>6294.46</v>
      </c>
      <c r="AJ168" s="198"/>
      <c r="AK168" s="198">
        <f t="shared" si="11"/>
        <v>39761.11</v>
      </c>
      <c r="AL168" s="198">
        <f t="shared" si="12"/>
        <v>0</v>
      </c>
      <c r="AM168" s="161"/>
      <c r="AN168" s="161"/>
      <c r="AO168" s="161"/>
      <c r="AP168" s="161"/>
      <c r="AQ168" s="161"/>
      <c r="AR168" s="161"/>
    </row>
    <row r="169" spans="1:44" s="165" customFormat="1" ht="13.8" hidden="1" x14ac:dyDescent="0.3">
      <c r="A169" s="165">
        <v>169</v>
      </c>
      <c r="B169" s="58" t="s">
        <v>107</v>
      </c>
      <c r="C169" s="58" t="s">
        <v>107</v>
      </c>
      <c r="D169" s="58" t="s">
        <v>271</v>
      </c>
      <c r="E169" s="58" t="s">
        <v>882</v>
      </c>
      <c r="F169" s="231" t="s">
        <v>508</v>
      </c>
      <c r="G169" s="94">
        <v>114</v>
      </c>
      <c r="H169" s="85">
        <v>44924</v>
      </c>
      <c r="I169" s="85">
        <v>46022</v>
      </c>
      <c r="J169" s="107">
        <v>45474</v>
      </c>
      <c r="K169" s="107">
        <v>45565</v>
      </c>
      <c r="L169" s="94" t="s">
        <v>295</v>
      </c>
      <c r="M169" s="179" t="s">
        <v>507</v>
      </c>
      <c r="N169" s="58" t="s">
        <v>1</v>
      </c>
      <c r="O169" s="178">
        <v>45615</v>
      </c>
      <c r="P169" s="58" t="s">
        <v>101</v>
      </c>
      <c r="Q169" s="58"/>
      <c r="R169" s="58"/>
      <c r="S169" s="181">
        <v>52119.27</v>
      </c>
      <c r="T169" s="181">
        <v>671486.53</v>
      </c>
      <c r="U169" s="58" t="s">
        <v>233</v>
      </c>
      <c r="V169" s="58"/>
      <c r="W169" s="161"/>
      <c r="X169" s="198">
        <v>2164.87</v>
      </c>
      <c r="Y169" s="198">
        <v>1424.1</v>
      </c>
      <c r="Z169" s="198"/>
      <c r="AA169" s="198">
        <v>2714.27</v>
      </c>
      <c r="AB169" s="201">
        <v>458.81</v>
      </c>
      <c r="AC169" s="198">
        <v>25218.99</v>
      </c>
      <c r="AD169" s="198">
        <f>5577.14+145</f>
        <v>5722.14</v>
      </c>
      <c r="AE169" s="198">
        <v>2904.79</v>
      </c>
      <c r="AF169" s="198">
        <v>1044.79</v>
      </c>
      <c r="AG169" s="198">
        <v>6347.52</v>
      </c>
      <c r="AH169" s="198">
        <v>505.58</v>
      </c>
      <c r="AI169" s="198">
        <v>3613.41</v>
      </c>
      <c r="AJ169" s="198"/>
      <c r="AK169" s="198">
        <f t="shared" si="11"/>
        <v>52119.270000000004</v>
      </c>
      <c r="AL169" s="198">
        <f t="shared" si="12"/>
        <v>0</v>
      </c>
      <c r="AM169" s="161"/>
      <c r="AN169" s="161"/>
      <c r="AO169" s="161"/>
      <c r="AP169" s="161"/>
      <c r="AQ169" s="161"/>
      <c r="AR169" s="161"/>
    </row>
    <row r="170" spans="1:44" s="161" customFormat="1" ht="96.6" hidden="1" x14ac:dyDescent="0.3">
      <c r="A170" s="165">
        <v>170</v>
      </c>
      <c r="B170" s="58" t="s">
        <v>0</v>
      </c>
      <c r="C170" s="58" t="s">
        <v>0</v>
      </c>
      <c r="D170" s="58" t="s">
        <v>263</v>
      </c>
      <c r="E170" s="102" t="s">
        <v>863</v>
      </c>
      <c r="F170" s="102" t="s">
        <v>983</v>
      </c>
      <c r="G170" s="94">
        <v>133</v>
      </c>
      <c r="H170" s="85">
        <v>45322</v>
      </c>
      <c r="I170" s="85">
        <v>45961</v>
      </c>
      <c r="J170" s="107">
        <v>45444</v>
      </c>
      <c r="K170" s="107">
        <v>45535</v>
      </c>
      <c r="L170" s="59" t="s">
        <v>295</v>
      </c>
      <c r="M170" s="150" t="s">
        <v>286</v>
      </c>
      <c r="N170" s="58" t="s">
        <v>1</v>
      </c>
      <c r="O170" s="176">
        <v>45616</v>
      </c>
      <c r="P170" s="58" t="s">
        <v>2</v>
      </c>
      <c r="Q170" s="58" t="s">
        <v>166</v>
      </c>
      <c r="R170" s="173"/>
      <c r="S170" s="316">
        <v>660000</v>
      </c>
      <c r="T170" s="181">
        <v>660000</v>
      </c>
      <c r="U170" s="58"/>
      <c r="V170" s="61"/>
      <c r="X170" s="199"/>
      <c r="Y170" s="199"/>
      <c r="Z170" s="199"/>
      <c r="AA170" s="199"/>
      <c r="AB170" s="199"/>
      <c r="AC170" s="199">
        <v>660000</v>
      </c>
      <c r="AD170" s="199"/>
      <c r="AE170" s="199"/>
      <c r="AF170" s="199"/>
      <c r="AG170" s="199"/>
      <c r="AH170" s="199"/>
      <c r="AI170" s="199"/>
      <c r="AJ170" s="199"/>
      <c r="AK170" s="198">
        <f t="shared" si="11"/>
        <v>660000</v>
      </c>
      <c r="AL170" s="198">
        <f t="shared" si="12"/>
        <v>0</v>
      </c>
      <c r="AM170" s="165"/>
      <c r="AN170" s="165"/>
      <c r="AO170" s="165"/>
      <c r="AP170" s="165"/>
      <c r="AQ170" s="165"/>
      <c r="AR170" s="165"/>
    </row>
    <row r="171" spans="1:44" s="161" customFormat="1" ht="124.2" hidden="1" x14ac:dyDescent="0.3">
      <c r="A171" s="165">
        <v>171</v>
      </c>
      <c r="B171" s="58" t="s">
        <v>0</v>
      </c>
      <c r="C171" s="58" t="s">
        <v>0</v>
      </c>
      <c r="D171" s="58" t="s">
        <v>264</v>
      </c>
      <c r="E171" s="134" t="s">
        <v>881</v>
      </c>
      <c r="F171" s="231" t="s">
        <v>438</v>
      </c>
      <c r="G171" s="94">
        <v>88</v>
      </c>
      <c r="H171" s="85">
        <v>42591</v>
      </c>
      <c r="I171" s="85">
        <v>45961</v>
      </c>
      <c r="J171" s="107">
        <v>45505</v>
      </c>
      <c r="K171" s="107">
        <v>45596</v>
      </c>
      <c r="L171" s="140" t="s">
        <v>872</v>
      </c>
      <c r="M171" s="174" t="s">
        <v>437</v>
      </c>
      <c r="N171" s="58" t="s">
        <v>1</v>
      </c>
      <c r="O171" s="176">
        <v>45616</v>
      </c>
      <c r="P171" s="58" t="s">
        <v>2</v>
      </c>
      <c r="Q171" s="58" t="s">
        <v>168</v>
      </c>
      <c r="R171" s="58"/>
      <c r="S171" s="316">
        <v>58965</v>
      </c>
      <c r="T171" s="181">
        <v>58965</v>
      </c>
      <c r="U171" s="58"/>
      <c r="V171" s="58"/>
      <c r="X171" s="198"/>
      <c r="Y171" s="198"/>
      <c r="Z171" s="198"/>
      <c r="AA171" s="198"/>
      <c r="AB171" s="198"/>
      <c r="AC171" s="198">
        <v>43290</v>
      </c>
      <c r="AD171" s="198">
        <v>15675</v>
      </c>
      <c r="AE171" s="198"/>
      <c r="AF171" s="198"/>
      <c r="AG171" s="198"/>
      <c r="AH171" s="198"/>
      <c r="AI171" s="198"/>
      <c r="AJ171" s="198"/>
      <c r="AK171" s="198">
        <f t="shared" si="11"/>
        <v>58965</v>
      </c>
      <c r="AL171" s="198">
        <f t="shared" si="12"/>
        <v>0</v>
      </c>
    </row>
    <row r="172" spans="1:44" s="161" customFormat="1" ht="96.6" hidden="1" x14ac:dyDescent="0.3">
      <c r="A172" s="165">
        <v>172</v>
      </c>
      <c r="B172" s="61" t="s">
        <v>0</v>
      </c>
      <c r="C172" s="61" t="s">
        <v>0</v>
      </c>
      <c r="D172" s="58" t="s">
        <v>262</v>
      </c>
      <c r="E172" s="102" t="s">
        <v>863</v>
      </c>
      <c r="F172" s="102" t="s">
        <v>983</v>
      </c>
      <c r="G172" s="94">
        <v>133</v>
      </c>
      <c r="H172" s="85">
        <v>45322</v>
      </c>
      <c r="I172" s="85">
        <v>45961</v>
      </c>
      <c r="J172" s="107">
        <v>45323</v>
      </c>
      <c r="K172" s="107">
        <v>45443</v>
      </c>
      <c r="L172" s="59" t="s">
        <v>295</v>
      </c>
      <c r="M172" s="192" t="s">
        <v>286</v>
      </c>
      <c r="N172" s="61" t="s">
        <v>1</v>
      </c>
      <c r="O172" s="178">
        <v>45618</v>
      </c>
      <c r="P172" s="61" t="s">
        <v>2</v>
      </c>
      <c r="Q172" s="61" t="s">
        <v>166</v>
      </c>
      <c r="R172" s="61"/>
      <c r="S172" s="316">
        <v>746000</v>
      </c>
      <c r="T172" s="181">
        <v>746000</v>
      </c>
      <c r="U172" s="61" t="s">
        <v>233</v>
      </c>
      <c r="V172" s="61"/>
      <c r="W172" s="165"/>
      <c r="X172" s="199"/>
      <c r="Y172" s="199"/>
      <c r="Z172" s="199"/>
      <c r="AA172" s="199"/>
      <c r="AB172" s="199"/>
      <c r="AC172" s="199">
        <v>746000</v>
      </c>
      <c r="AD172" s="199"/>
      <c r="AE172" s="199"/>
      <c r="AF172" s="199"/>
      <c r="AG172" s="199"/>
      <c r="AH172" s="199"/>
      <c r="AI172" s="199"/>
      <c r="AJ172" s="199"/>
      <c r="AK172" s="198">
        <f t="shared" si="11"/>
        <v>746000</v>
      </c>
      <c r="AL172" s="198">
        <f t="shared" si="12"/>
        <v>0</v>
      </c>
      <c r="AM172" s="165"/>
      <c r="AN172" s="165"/>
      <c r="AO172" s="165"/>
      <c r="AP172" s="165"/>
      <c r="AQ172" s="165"/>
      <c r="AR172" s="165"/>
    </row>
    <row r="173" spans="1:44" s="161" customFormat="1" ht="13.8" hidden="1" x14ac:dyDescent="0.3">
      <c r="A173" s="165">
        <v>173</v>
      </c>
      <c r="B173" s="58" t="s">
        <v>237</v>
      </c>
      <c r="C173" s="58" t="s">
        <v>237</v>
      </c>
      <c r="D173" s="102" t="s">
        <v>957</v>
      </c>
      <c r="E173" s="102" t="s">
        <v>815</v>
      </c>
      <c r="F173" s="231" t="s">
        <v>975</v>
      </c>
      <c r="G173" s="83">
        <v>529</v>
      </c>
      <c r="H173" s="84">
        <v>44743</v>
      </c>
      <c r="I173" s="84">
        <v>46022</v>
      </c>
      <c r="J173" s="85">
        <v>45566</v>
      </c>
      <c r="K173" s="85">
        <v>45596</v>
      </c>
      <c r="L173" s="83" t="s">
        <v>337</v>
      </c>
      <c r="M173" s="86" t="s">
        <v>793</v>
      </c>
      <c r="N173" s="157" t="s">
        <v>1</v>
      </c>
      <c r="O173" s="176">
        <v>45618</v>
      </c>
      <c r="P173" s="58" t="s">
        <v>275</v>
      </c>
      <c r="Q173" s="58"/>
      <c r="R173" s="58"/>
      <c r="S173" s="181">
        <v>4353.51</v>
      </c>
      <c r="T173" s="181">
        <v>4353.51</v>
      </c>
      <c r="U173" s="58" t="s">
        <v>233</v>
      </c>
      <c r="V173" s="61"/>
      <c r="X173" s="199">
        <f>368.16+31.8</f>
        <v>399.96000000000004</v>
      </c>
      <c r="Y173" s="199">
        <v>33.909999999999997</v>
      </c>
      <c r="Z173" s="199"/>
      <c r="AA173" s="199">
        <v>228.7</v>
      </c>
      <c r="AB173" s="199"/>
      <c r="AC173" s="199">
        <v>2135.27</v>
      </c>
      <c r="AD173" s="199">
        <v>373.47</v>
      </c>
      <c r="AE173" s="199">
        <v>224.66</v>
      </c>
      <c r="AF173" s="199">
        <v>71.930000000000007</v>
      </c>
      <c r="AG173" s="199">
        <v>545.47</v>
      </c>
      <c r="AH173" s="199">
        <v>34.81</v>
      </c>
      <c r="AI173" s="199">
        <v>305.33</v>
      </c>
      <c r="AJ173" s="199"/>
      <c r="AK173" s="198">
        <f t="shared" si="11"/>
        <v>4353.51</v>
      </c>
      <c r="AL173" s="198">
        <f t="shared" si="12"/>
        <v>0</v>
      </c>
      <c r="AM173" s="165"/>
      <c r="AN173" s="165"/>
      <c r="AO173" s="165"/>
      <c r="AP173" s="165"/>
      <c r="AQ173" s="165"/>
      <c r="AR173" s="165"/>
    </row>
    <row r="174" spans="1:44" s="161" customFormat="1" ht="69" hidden="1" x14ac:dyDescent="0.3">
      <c r="A174" s="165">
        <v>174</v>
      </c>
      <c r="B174" s="58" t="s">
        <v>117</v>
      </c>
      <c r="C174" s="58" t="s">
        <v>116</v>
      </c>
      <c r="D174" s="58" t="s">
        <v>1098</v>
      </c>
      <c r="E174" s="109" t="s">
        <v>883</v>
      </c>
      <c r="F174" s="109" t="s">
        <v>997</v>
      </c>
      <c r="G174" s="94">
        <v>436</v>
      </c>
      <c r="H174" s="85">
        <v>45231</v>
      </c>
      <c r="I174" s="85">
        <v>45961</v>
      </c>
      <c r="J174" s="107">
        <v>45383</v>
      </c>
      <c r="K174" s="107">
        <v>45565</v>
      </c>
      <c r="L174" s="59" t="s">
        <v>295</v>
      </c>
      <c r="M174" s="92" t="s">
        <v>996</v>
      </c>
      <c r="N174" s="58" t="s">
        <v>1</v>
      </c>
      <c r="O174" s="178">
        <v>45632</v>
      </c>
      <c r="P174" s="58" t="s">
        <v>98</v>
      </c>
      <c r="Q174" s="58"/>
      <c r="R174" s="58"/>
      <c r="S174" s="181">
        <v>587.27</v>
      </c>
      <c r="T174" s="181">
        <v>587.27</v>
      </c>
      <c r="U174" s="58" t="s">
        <v>272</v>
      </c>
      <c r="V174" s="58"/>
      <c r="W174" s="161" t="s">
        <v>934</v>
      </c>
      <c r="X174" s="198"/>
      <c r="Y174" s="198"/>
      <c r="Z174" s="198"/>
      <c r="AA174" s="198"/>
      <c r="AB174" s="198"/>
      <c r="AC174" s="199">
        <v>587.27</v>
      </c>
      <c r="AD174" s="198"/>
      <c r="AE174" s="198"/>
      <c r="AF174" s="198"/>
      <c r="AG174" s="198"/>
      <c r="AH174" s="198"/>
      <c r="AI174" s="198"/>
      <c r="AJ174" s="198"/>
      <c r="AK174" s="198">
        <f t="shared" si="11"/>
        <v>587.27</v>
      </c>
      <c r="AL174" s="198">
        <f t="shared" si="12"/>
        <v>0</v>
      </c>
    </row>
    <row r="175" spans="1:44" s="161" customFormat="1" ht="165.6" hidden="1" x14ac:dyDescent="0.3">
      <c r="A175" s="165">
        <v>175</v>
      </c>
      <c r="B175" s="58" t="s">
        <v>252</v>
      </c>
      <c r="C175" s="58" t="s">
        <v>252</v>
      </c>
      <c r="D175" s="58" t="s">
        <v>187</v>
      </c>
      <c r="E175" s="58" t="s">
        <v>187</v>
      </c>
      <c r="F175" s="231" t="s">
        <v>1007</v>
      </c>
      <c r="G175" s="59">
        <v>146</v>
      </c>
      <c r="H175" s="107">
        <v>43862</v>
      </c>
      <c r="I175" s="107">
        <v>45930</v>
      </c>
      <c r="J175" s="107">
        <v>45200</v>
      </c>
      <c r="K175" s="107">
        <v>45565</v>
      </c>
      <c r="L175" s="59" t="s">
        <v>289</v>
      </c>
      <c r="M175" s="58" t="s">
        <v>540</v>
      </c>
      <c r="N175" s="58" t="s">
        <v>1</v>
      </c>
      <c r="O175" s="178">
        <v>45637</v>
      </c>
      <c r="P175" s="58" t="s">
        <v>101</v>
      </c>
      <c r="Q175" s="58"/>
      <c r="R175" s="58"/>
      <c r="S175" s="181">
        <v>2017081.17</v>
      </c>
      <c r="T175" s="181">
        <v>2017081.17</v>
      </c>
      <c r="U175" s="58" t="s">
        <v>272</v>
      </c>
      <c r="V175" s="58"/>
      <c r="X175" s="198">
        <f>21221.3+35723.54+121.95+161.73+60.26</f>
        <v>57288.78</v>
      </c>
      <c r="Y175" s="198">
        <v>27491.99</v>
      </c>
      <c r="Z175" s="198">
        <v>29.61</v>
      </c>
      <c r="AA175" s="198">
        <f>103318.8+28.44+11744.01</f>
        <v>115091.25</v>
      </c>
      <c r="AB175" s="198">
        <f>25.02+10.4+5.23+118.26+6296.41+50.67+508.15+35.46+1480.9+58.17+30558.41+26.23+1689.63+12653.75+0.56+19.92+102.69+6.01+13.12</f>
        <v>53658.990000000005</v>
      </c>
      <c r="AC175" s="198">
        <f>771464.89+79301.58+13.62+18.93+27249.78+1920.47+4768.99+5756.83</f>
        <v>890495.09</v>
      </c>
      <c r="AD175" s="198">
        <f>241883.36</f>
        <v>241883.36</v>
      </c>
      <c r="AE175" s="198">
        <v>99281.02</v>
      </c>
      <c r="AF175" s="198">
        <f>3216.17+22083.07</f>
        <v>25299.239999999998</v>
      </c>
      <c r="AG175" s="198">
        <f>292055.33+298.13</f>
        <v>292353.46000000002</v>
      </c>
      <c r="AH175" s="198">
        <v>16037.8</v>
      </c>
      <c r="AI175" s="198">
        <f>267.97+99834.27+98068.34</f>
        <v>198170.58000000002</v>
      </c>
      <c r="AJ175" s="198"/>
      <c r="AK175" s="198">
        <f t="shared" si="11"/>
        <v>2017081.17</v>
      </c>
      <c r="AL175" s="198">
        <f t="shared" si="12"/>
        <v>0</v>
      </c>
    </row>
    <row r="176" spans="1:44" s="161" customFormat="1" ht="13.8" hidden="1" x14ac:dyDescent="0.3">
      <c r="A176" s="165">
        <v>176</v>
      </c>
      <c r="B176" s="58" t="s">
        <v>107</v>
      </c>
      <c r="C176" s="58" t="s">
        <v>107</v>
      </c>
      <c r="D176" s="58" t="s">
        <v>273</v>
      </c>
      <c r="E176" s="58" t="s">
        <v>273</v>
      </c>
      <c r="F176" s="58" t="s">
        <v>973</v>
      </c>
      <c r="G176" s="59" t="s">
        <v>879</v>
      </c>
      <c r="H176" s="59"/>
      <c r="I176" s="59"/>
      <c r="J176" s="59"/>
      <c r="K176" s="59"/>
      <c r="L176" s="59" t="s">
        <v>901</v>
      </c>
      <c r="M176" s="58"/>
      <c r="N176" s="58" t="s">
        <v>1</v>
      </c>
      <c r="O176" s="178">
        <v>45642</v>
      </c>
      <c r="P176" s="58" t="s">
        <v>101</v>
      </c>
      <c r="Q176" s="58"/>
      <c r="R176" s="58"/>
      <c r="S176" s="181">
        <v>189168.75</v>
      </c>
      <c r="T176" s="181">
        <v>189168.75</v>
      </c>
      <c r="U176" s="58" t="s">
        <v>272</v>
      </c>
      <c r="V176" s="58"/>
      <c r="X176" s="198"/>
      <c r="Y176" s="198"/>
      <c r="Z176" s="198"/>
      <c r="AA176" s="198"/>
      <c r="AB176" s="198"/>
      <c r="AC176" s="198"/>
      <c r="AD176" s="198"/>
      <c r="AE176" s="198"/>
      <c r="AF176" s="198"/>
      <c r="AG176" s="198"/>
      <c r="AH176" s="198"/>
      <c r="AI176" s="198"/>
      <c r="AJ176" s="198"/>
      <c r="AK176" s="198">
        <v>189168.75</v>
      </c>
      <c r="AL176" s="198">
        <f t="shared" si="12"/>
        <v>0</v>
      </c>
    </row>
    <row r="177" spans="1:44" s="161" customFormat="1" ht="110.4" hidden="1" x14ac:dyDescent="0.3">
      <c r="A177" s="165">
        <v>177</v>
      </c>
      <c r="B177" s="58" t="s">
        <v>0</v>
      </c>
      <c r="C177" s="58" t="s">
        <v>0</v>
      </c>
      <c r="D177" s="58" t="s">
        <v>587</v>
      </c>
      <c r="E177" s="109" t="s">
        <v>778</v>
      </c>
      <c r="F177" s="231" t="s">
        <v>429</v>
      </c>
      <c r="G177" s="94">
        <v>84</v>
      </c>
      <c r="H177" s="85">
        <v>44044</v>
      </c>
      <c r="I177" s="85">
        <v>46290</v>
      </c>
      <c r="J177" s="107">
        <v>45536</v>
      </c>
      <c r="K177" s="107">
        <v>45626</v>
      </c>
      <c r="L177" s="59" t="s">
        <v>295</v>
      </c>
      <c r="M177" s="179" t="s">
        <v>428</v>
      </c>
      <c r="N177" s="58" t="s">
        <v>1</v>
      </c>
      <c r="O177" s="178">
        <v>45646</v>
      </c>
      <c r="P177" s="58" t="s">
        <v>2</v>
      </c>
      <c r="Q177" s="58" t="s">
        <v>166</v>
      </c>
      <c r="R177" s="58"/>
      <c r="S177" s="316">
        <v>244000</v>
      </c>
      <c r="T177" s="181">
        <v>244000</v>
      </c>
      <c r="U177" s="58" t="s">
        <v>272</v>
      </c>
      <c r="V177" s="58"/>
      <c r="X177" s="198"/>
      <c r="Y177" s="198"/>
      <c r="Z177" s="198"/>
      <c r="AA177" s="198"/>
      <c r="AB177" s="198"/>
      <c r="AC177" s="198">
        <f>94000+94000</f>
        <v>188000</v>
      </c>
      <c r="AD177" s="198">
        <f>28000+28000</f>
        <v>56000</v>
      </c>
      <c r="AE177" s="198"/>
      <c r="AF177" s="198"/>
      <c r="AG177" s="198"/>
      <c r="AH177" s="198"/>
      <c r="AI177" s="198"/>
      <c r="AJ177" s="198"/>
      <c r="AK177" s="198">
        <f>SUM(X177:AJ177)</f>
        <v>244000</v>
      </c>
      <c r="AL177" s="198">
        <f t="shared" si="12"/>
        <v>0</v>
      </c>
    </row>
    <row r="178" spans="1:44" s="161" customFormat="1" ht="13.8" hidden="1" x14ac:dyDescent="0.3">
      <c r="A178" s="165">
        <v>178</v>
      </c>
      <c r="B178" s="58" t="s">
        <v>4</v>
      </c>
      <c r="C178" s="58" t="s">
        <v>4</v>
      </c>
      <c r="D178" s="58" t="s">
        <v>591</v>
      </c>
      <c r="E178" s="58" t="s">
        <v>904</v>
      </c>
      <c r="F178" s="138" t="s">
        <v>1006</v>
      </c>
      <c r="G178" s="59">
        <v>124</v>
      </c>
      <c r="H178" s="107">
        <v>42423</v>
      </c>
      <c r="I178" s="107">
        <v>46022</v>
      </c>
      <c r="J178" s="107">
        <v>45566</v>
      </c>
      <c r="K178" s="107">
        <v>45657</v>
      </c>
      <c r="L178" s="59" t="s">
        <v>295</v>
      </c>
      <c r="M178" s="179" t="s">
        <v>529</v>
      </c>
      <c r="N178" s="58" t="s">
        <v>5</v>
      </c>
      <c r="O178" s="178">
        <v>45646</v>
      </c>
      <c r="P178" s="58" t="s">
        <v>2</v>
      </c>
      <c r="Q178" s="58" t="s">
        <v>680</v>
      </c>
      <c r="R178" s="58"/>
      <c r="S178" s="181">
        <v>2550</v>
      </c>
      <c r="T178" s="181"/>
      <c r="U178" s="58"/>
      <c r="V178" s="58"/>
      <c r="X178" s="198"/>
      <c r="Y178" s="198"/>
      <c r="Z178" s="198"/>
      <c r="AA178" s="198"/>
      <c r="AB178" s="198"/>
      <c r="AC178" s="201">
        <v>1200</v>
      </c>
      <c r="AD178" s="201">
        <v>450</v>
      </c>
      <c r="AE178" s="198">
        <v>600</v>
      </c>
      <c r="AF178" s="198"/>
      <c r="AG178" s="201">
        <v>300</v>
      </c>
      <c r="AH178" s="198"/>
      <c r="AI178" s="198"/>
      <c r="AJ178" s="198"/>
      <c r="AK178" s="198">
        <f>SUM(X178:AJ178)</f>
        <v>2550</v>
      </c>
      <c r="AL178" s="198">
        <f t="shared" si="12"/>
        <v>0</v>
      </c>
    </row>
    <row r="179" spans="1:44" s="161" customFormat="1" ht="13.8" hidden="1" x14ac:dyDescent="0.3">
      <c r="A179" s="165">
        <v>179</v>
      </c>
      <c r="B179" s="58" t="s">
        <v>4</v>
      </c>
      <c r="C179" s="58" t="s">
        <v>4</v>
      </c>
      <c r="D179" s="58" t="s">
        <v>592</v>
      </c>
      <c r="E179" s="58" t="s">
        <v>904</v>
      </c>
      <c r="F179" s="138" t="s">
        <v>1006</v>
      </c>
      <c r="G179" s="59">
        <v>124</v>
      </c>
      <c r="H179" s="107">
        <v>42423</v>
      </c>
      <c r="I179" s="107">
        <v>46022</v>
      </c>
      <c r="J179" s="107">
        <v>45474</v>
      </c>
      <c r="K179" s="107">
        <v>45565</v>
      </c>
      <c r="L179" s="59" t="s">
        <v>295</v>
      </c>
      <c r="M179" s="179" t="s">
        <v>529</v>
      </c>
      <c r="N179" s="58" t="s">
        <v>5</v>
      </c>
      <c r="O179" s="178">
        <v>45646</v>
      </c>
      <c r="P179" s="58" t="s">
        <v>2</v>
      </c>
      <c r="Q179" s="58" t="s">
        <v>680</v>
      </c>
      <c r="R179" s="58"/>
      <c r="S179" s="181">
        <v>2250</v>
      </c>
      <c r="T179" s="181"/>
      <c r="U179" s="58"/>
      <c r="V179" s="58"/>
      <c r="X179" s="198"/>
      <c r="Y179" s="198"/>
      <c r="Z179" s="198"/>
      <c r="AA179" s="198"/>
      <c r="AB179" s="198"/>
      <c r="AC179" s="198">
        <v>1350</v>
      </c>
      <c r="AD179" s="198">
        <v>300</v>
      </c>
      <c r="AE179" s="198">
        <v>300</v>
      </c>
      <c r="AF179" s="198"/>
      <c r="AG179" s="198">
        <v>300</v>
      </c>
      <c r="AH179" s="198"/>
      <c r="AI179" s="198"/>
      <c r="AJ179" s="198"/>
      <c r="AK179" s="198">
        <f>SUM(X179:AJ179)</f>
        <v>2250</v>
      </c>
      <c r="AL179" s="198">
        <f t="shared" si="12"/>
        <v>0</v>
      </c>
    </row>
    <row r="180" spans="1:44" s="168" customFormat="1" ht="13.8" hidden="1" x14ac:dyDescent="0.3">
      <c r="B180" s="131"/>
      <c r="C180" s="131"/>
      <c r="D180" s="131"/>
      <c r="E180" s="131"/>
      <c r="F180" s="131"/>
      <c r="G180" s="131"/>
      <c r="H180" s="188"/>
      <c r="I180" s="188"/>
      <c r="J180" s="188"/>
      <c r="K180" s="188"/>
      <c r="L180" s="131"/>
      <c r="M180" s="194"/>
      <c r="N180" s="131"/>
      <c r="O180" s="188"/>
      <c r="P180" s="131"/>
      <c r="Q180" s="131"/>
      <c r="R180" s="131"/>
      <c r="S180" s="181"/>
      <c r="T180" s="189"/>
      <c r="U180" s="131"/>
      <c r="V180" s="131"/>
      <c r="X180" s="203"/>
      <c r="Y180" s="203"/>
      <c r="Z180" s="203"/>
      <c r="AA180" s="203"/>
      <c r="AB180" s="203"/>
      <c r="AC180" s="203"/>
      <c r="AD180" s="203"/>
      <c r="AE180" s="203"/>
      <c r="AF180" s="203"/>
      <c r="AG180" s="203"/>
      <c r="AH180" s="203"/>
      <c r="AI180" s="203"/>
      <c r="AJ180" s="203"/>
      <c r="AK180" s="198"/>
      <c r="AL180" s="198"/>
    </row>
    <row r="181" spans="1:44" s="168" customFormat="1" ht="13.8" hidden="1" x14ac:dyDescent="0.3">
      <c r="B181" s="131"/>
      <c r="C181" s="131"/>
      <c r="D181" s="131"/>
      <c r="E181" s="131"/>
      <c r="F181" s="131"/>
      <c r="G181" s="131"/>
      <c r="H181" s="188"/>
      <c r="I181" s="188"/>
      <c r="J181" s="188"/>
      <c r="K181" s="188"/>
      <c r="L181" s="131"/>
      <c r="M181" s="194"/>
      <c r="N181" s="131"/>
      <c r="O181" s="188"/>
      <c r="P181" s="131"/>
      <c r="Q181" s="131"/>
      <c r="R181" s="131"/>
      <c r="S181" s="181"/>
      <c r="T181" s="189"/>
      <c r="U181" s="131"/>
      <c r="V181" s="131"/>
      <c r="X181" s="203"/>
      <c r="Y181" s="203"/>
      <c r="Z181" s="203"/>
      <c r="AA181" s="203"/>
      <c r="AB181" s="203"/>
      <c r="AC181" s="203"/>
      <c r="AD181" s="203"/>
      <c r="AE181" s="203"/>
      <c r="AF181" s="203"/>
      <c r="AG181" s="203"/>
      <c r="AH181" s="203"/>
      <c r="AI181" s="203"/>
      <c r="AJ181" s="203"/>
      <c r="AK181" s="198"/>
      <c r="AL181" s="198"/>
    </row>
    <row r="182" spans="1:44" s="168" customFormat="1" ht="13.8" hidden="1" x14ac:dyDescent="0.3">
      <c r="B182" s="131"/>
      <c r="C182" s="131"/>
      <c r="D182" s="131"/>
      <c r="E182" s="131"/>
      <c r="F182" s="131"/>
      <c r="G182" s="131"/>
      <c r="H182" s="188"/>
      <c r="I182" s="188"/>
      <c r="J182" s="188"/>
      <c r="K182" s="188"/>
      <c r="L182" s="131"/>
      <c r="M182" s="194"/>
      <c r="N182" s="131"/>
      <c r="O182" s="188"/>
      <c r="P182" s="131"/>
      <c r="Q182" s="131"/>
      <c r="R182" s="152" t="s">
        <v>161</v>
      </c>
      <c r="S182" s="205">
        <f>SUM(S2:S179)</f>
        <v>24080256.353029996</v>
      </c>
      <c r="T182" s="217"/>
      <c r="U182" s="218"/>
      <c r="V182" s="131"/>
      <c r="X182" s="203"/>
      <c r="Y182" s="203"/>
      <c r="Z182" s="203"/>
      <c r="AA182" s="203"/>
      <c r="AB182" s="203"/>
      <c r="AC182" s="203"/>
      <c r="AD182" s="203"/>
      <c r="AE182" s="203"/>
      <c r="AF182" s="203"/>
      <c r="AG182" s="203"/>
      <c r="AH182" s="203"/>
      <c r="AI182" s="203"/>
      <c r="AJ182" s="203"/>
      <c r="AK182" s="198"/>
      <c r="AL182" s="198"/>
    </row>
    <row r="183" spans="1:44" s="168" customFormat="1" ht="13.8" hidden="1" x14ac:dyDescent="0.3">
      <c r="B183" s="131"/>
      <c r="C183" s="131"/>
      <c r="D183" s="131"/>
      <c r="E183" s="131"/>
      <c r="F183" s="131"/>
      <c r="G183" s="131"/>
      <c r="H183" s="188"/>
      <c r="I183" s="188"/>
      <c r="J183" s="188"/>
      <c r="K183" s="188"/>
      <c r="L183" s="131"/>
      <c r="M183" s="194"/>
      <c r="N183" s="131"/>
      <c r="O183" s="188"/>
      <c r="P183" s="131"/>
      <c r="Q183" s="131"/>
      <c r="R183" s="131"/>
      <c r="S183" s="181"/>
      <c r="T183" s="189"/>
      <c r="U183" s="131"/>
      <c r="V183" s="131"/>
      <c r="X183" s="203"/>
      <c r="Y183" s="203"/>
      <c r="Z183" s="203"/>
      <c r="AA183" s="203"/>
      <c r="AB183" s="203"/>
      <c r="AC183" s="203"/>
      <c r="AD183" s="203"/>
      <c r="AE183" s="203"/>
      <c r="AF183" s="203"/>
      <c r="AG183" s="203"/>
      <c r="AH183" s="203"/>
      <c r="AI183" s="203"/>
      <c r="AJ183" s="203"/>
      <c r="AK183" s="198"/>
      <c r="AL183" s="198"/>
    </row>
    <row r="184" spans="1:44" s="168" customFormat="1" ht="13.8" hidden="1" x14ac:dyDescent="0.3">
      <c r="B184" s="131"/>
      <c r="C184" s="131"/>
      <c r="D184" s="131"/>
      <c r="E184" s="131"/>
      <c r="F184" s="131"/>
      <c r="G184" s="131"/>
      <c r="H184" s="188"/>
      <c r="I184" s="188"/>
      <c r="J184" s="188"/>
      <c r="K184" s="188"/>
      <c r="L184" s="131"/>
      <c r="M184" s="194"/>
      <c r="N184" s="131"/>
      <c r="O184" s="188"/>
      <c r="P184" s="131"/>
      <c r="Q184" s="131"/>
      <c r="R184" s="131"/>
      <c r="S184" s="181"/>
      <c r="T184" s="189"/>
      <c r="U184" s="131"/>
      <c r="V184" s="131"/>
      <c r="X184" s="203"/>
      <c r="Y184" s="203"/>
      <c r="Z184" s="203"/>
      <c r="AA184" s="203"/>
      <c r="AB184" s="203"/>
      <c r="AC184" s="203"/>
      <c r="AD184" s="203"/>
      <c r="AE184" s="203"/>
      <c r="AF184" s="203"/>
      <c r="AG184" s="203"/>
      <c r="AH184" s="203"/>
      <c r="AI184" s="203"/>
      <c r="AJ184" s="203"/>
      <c r="AK184" s="198"/>
      <c r="AL184" s="198"/>
    </row>
    <row r="185" spans="1:44" s="168" customFormat="1" ht="13.8" hidden="1" x14ac:dyDescent="0.3">
      <c r="B185" s="131"/>
      <c r="C185" s="131"/>
      <c r="D185" s="131"/>
      <c r="E185" s="131"/>
      <c r="F185" s="131"/>
      <c r="G185" s="131"/>
      <c r="H185" s="188"/>
      <c r="I185" s="188"/>
      <c r="J185" s="188"/>
      <c r="K185" s="188"/>
      <c r="L185" s="131"/>
      <c r="M185" s="194"/>
      <c r="N185" s="131"/>
      <c r="O185" s="188"/>
      <c r="P185" s="131"/>
      <c r="Q185" s="131"/>
      <c r="R185" s="131"/>
      <c r="S185" s="181"/>
      <c r="T185" s="189"/>
      <c r="U185" s="131"/>
      <c r="V185" s="131"/>
      <c r="X185" s="203"/>
      <c r="Y185" s="203"/>
      <c r="Z185" s="203"/>
      <c r="AA185" s="203"/>
      <c r="AB185" s="203"/>
      <c r="AC185" s="203"/>
      <c r="AD185" s="203"/>
      <c r="AE185" s="203"/>
      <c r="AF185" s="203"/>
      <c r="AG185" s="203"/>
      <c r="AH185" s="203"/>
      <c r="AI185" s="203"/>
      <c r="AJ185" s="203"/>
      <c r="AK185" s="198"/>
      <c r="AL185" s="198"/>
    </row>
    <row r="186" spans="1:44" s="168" customFormat="1" ht="13.8" hidden="1" x14ac:dyDescent="0.3">
      <c r="B186" s="131"/>
      <c r="C186" s="131"/>
      <c r="D186" s="131"/>
      <c r="E186" s="131"/>
      <c r="F186" s="131"/>
      <c r="G186" s="131"/>
      <c r="H186" s="188"/>
      <c r="I186" s="188"/>
      <c r="J186" s="188"/>
      <c r="K186" s="188"/>
      <c r="L186" s="131"/>
      <c r="M186" s="194"/>
      <c r="N186" s="131"/>
      <c r="O186" s="188"/>
      <c r="P186" s="131"/>
      <c r="Q186" s="131"/>
      <c r="R186" s="131"/>
      <c r="S186" s="181"/>
      <c r="T186" s="189"/>
      <c r="U186" s="131"/>
      <c r="V186" s="131"/>
      <c r="X186" s="203"/>
      <c r="Y186" s="203"/>
      <c r="Z186" s="203"/>
      <c r="AA186" s="203"/>
      <c r="AB186" s="203"/>
      <c r="AC186" s="203"/>
      <c r="AD186" s="203"/>
      <c r="AE186" s="203"/>
      <c r="AF186" s="203"/>
      <c r="AG186" s="203"/>
      <c r="AH186" s="203"/>
      <c r="AI186" s="203"/>
      <c r="AJ186" s="203"/>
      <c r="AK186" s="198"/>
      <c r="AL186" s="198"/>
    </row>
    <row r="187" spans="1:44" hidden="1" x14ac:dyDescent="0.3">
      <c r="B187" s="67"/>
      <c r="C187" s="67"/>
      <c r="D187" s="69"/>
      <c r="E187" s="69"/>
      <c r="F187" s="69"/>
      <c r="G187" s="69"/>
      <c r="H187" s="69"/>
      <c r="I187" s="69"/>
      <c r="J187" s="69"/>
      <c r="K187" s="69"/>
      <c r="L187" s="69"/>
      <c r="M187" s="70"/>
      <c r="N187" s="71"/>
      <c r="O187" s="71" t="s">
        <v>852</v>
      </c>
      <c r="P187" s="71"/>
      <c r="Q187" s="71">
        <v>2023</v>
      </c>
      <c r="R187" s="71"/>
      <c r="S187" s="206">
        <v>12051000</v>
      </c>
      <c r="T187" s="207">
        <v>12640000</v>
      </c>
      <c r="U187" s="71"/>
      <c r="V187" s="71"/>
      <c r="AK187" s="198"/>
      <c r="AL187" s="198"/>
    </row>
    <row r="188" spans="1:44" s="66" customFormat="1" hidden="1" x14ac:dyDescent="0.3">
      <c r="A188" s="13"/>
      <c r="B188" s="67"/>
      <c r="C188" s="67"/>
      <c r="D188" s="69"/>
      <c r="E188" s="69"/>
      <c r="F188" s="69"/>
      <c r="G188" s="69"/>
      <c r="H188" s="69"/>
      <c r="I188" s="69"/>
      <c r="J188" s="69"/>
      <c r="K188" s="69"/>
      <c r="L188" s="69"/>
      <c r="M188" s="70"/>
      <c r="N188" s="71"/>
      <c r="O188" s="71" t="s">
        <v>852</v>
      </c>
      <c r="P188" s="71"/>
      <c r="Q188" s="71">
        <v>2024</v>
      </c>
      <c r="R188" s="71"/>
      <c r="S188" s="206"/>
      <c r="T188" s="207"/>
      <c r="U188" s="71"/>
      <c r="V188" s="71"/>
      <c r="W188" s="11"/>
      <c r="X188" s="44"/>
      <c r="Y188" s="44"/>
      <c r="Z188" s="44"/>
      <c r="AA188" s="44"/>
      <c r="AB188" s="44"/>
      <c r="AC188" s="44"/>
      <c r="AD188" s="44"/>
      <c r="AE188" s="44"/>
      <c r="AF188" s="44"/>
      <c r="AG188" s="44"/>
      <c r="AH188" s="44"/>
      <c r="AI188" s="44"/>
      <c r="AJ188" s="44"/>
      <c r="AK188" s="198"/>
      <c r="AL188" s="198"/>
      <c r="AM188"/>
      <c r="AN188"/>
      <c r="AO188"/>
      <c r="AP188"/>
      <c r="AQ188"/>
      <c r="AR188"/>
    </row>
    <row r="189" spans="1:44" hidden="1" x14ac:dyDescent="0.3">
      <c r="A189" s="14"/>
      <c r="B189" s="52"/>
      <c r="C189" s="52"/>
      <c r="D189" s="52"/>
      <c r="E189" s="52"/>
      <c r="F189" s="52"/>
      <c r="G189" s="53"/>
      <c r="H189" s="54"/>
      <c r="I189" s="54"/>
      <c r="J189" s="53"/>
      <c r="K189" s="53"/>
      <c r="L189" s="53"/>
      <c r="M189" s="2"/>
      <c r="N189" s="1"/>
      <c r="O189" s="6"/>
      <c r="P189" s="1"/>
      <c r="Q189" s="1"/>
      <c r="R189" s="1"/>
      <c r="S189" s="73"/>
      <c r="T189" s="73"/>
      <c r="U189" s="1"/>
      <c r="V189" s="1"/>
      <c r="AK189" s="198"/>
      <c r="AL189" s="198"/>
    </row>
    <row r="190" spans="1:44" s="373" customFormat="1" ht="28.8" hidden="1" x14ac:dyDescent="0.3">
      <c r="B190" s="374" t="s">
        <v>1186</v>
      </c>
      <c r="C190" s="374"/>
      <c r="D190" s="374"/>
      <c r="E190" s="374"/>
      <c r="F190" s="374"/>
      <c r="G190" s="374"/>
      <c r="H190" s="374"/>
      <c r="I190" s="374"/>
      <c r="J190" s="374"/>
      <c r="K190" s="374"/>
      <c r="L190" s="374"/>
      <c r="M190" s="375"/>
      <c r="N190" s="376"/>
      <c r="O190" s="377"/>
      <c r="P190" s="376"/>
      <c r="Q190" s="376"/>
      <c r="R190" s="376"/>
      <c r="S190" s="378"/>
      <c r="T190" s="378"/>
      <c r="U190" s="376"/>
      <c r="V190" s="376"/>
      <c r="W190" s="379"/>
      <c r="X190" s="380"/>
      <c r="Y190" s="380"/>
      <c r="Z190" s="380"/>
      <c r="AA190" s="380"/>
      <c r="AB190" s="380"/>
      <c r="AC190" s="380"/>
      <c r="AD190" s="380"/>
      <c r="AE190" s="380"/>
      <c r="AF190" s="380"/>
      <c r="AG190" s="380"/>
      <c r="AH190" s="380"/>
      <c r="AI190" s="380"/>
      <c r="AJ190" s="380"/>
      <c r="AK190" s="381"/>
      <c r="AL190" s="381"/>
    </row>
    <row r="191" spans="1:44" ht="262.2" hidden="1" x14ac:dyDescent="0.3">
      <c r="A191" s="14"/>
      <c r="B191" s="126" t="s">
        <v>1160</v>
      </c>
      <c r="C191" s="126" t="s">
        <v>1160</v>
      </c>
      <c r="D191" s="126" t="s">
        <v>1161</v>
      </c>
      <c r="E191" s="367"/>
      <c r="F191" s="288" t="s">
        <v>346</v>
      </c>
      <c r="G191" s="126">
        <v>38</v>
      </c>
      <c r="H191" s="272">
        <v>45200</v>
      </c>
      <c r="I191" s="272">
        <v>45930</v>
      </c>
      <c r="J191" s="273">
        <v>45200</v>
      </c>
      <c r="K191" s="273">
        <v>45565</v>
      </c>
      <c r="L191" s="126" t="s">
        <v>289</v>
      </c>
      <c r="M191" s="274" t="s">
        <v>345</v>
      </c>
      <c r="N191" s="126" t="s">
        <v>1</v>
      </c>
      <c r="O191" s="272">
        <v>45632</v>
      </c>
      <c r="P191" s="126" t="s">
        <v>275</v>
      </c>
      <c r="Q191" s="126"/>
      <c r="R191" s="368"/>
      <c r="S191" s="369">
        <v>262401.25</v>
      </c>
      <c r="T191" s="369">
        <v>262401.25</v>
      </c>
      <c r="U191" s="126" t="s">
        <v>1162</v>
      </c>
      <c r="V191" s="367"/>
      <c r="W191" s="370"/>
      <c r="X191" s="371"/>
      <c r="Y191" s="371"/>
      <c r="Z191" s="371"/>
      <c r="AA191" s="371"/>
      <c r="AB191" s="371"/>
      <c r="AK191" s="198"/>
      <c r="AL191" s="198"/>
    </row>
    <row r="192" spans="1:44" hidden="1" x14ac:dyDescent="0.3">
      <c r="A192" s="14"/>
      <c r="B192" s="68"/>
      <c r="C192" s="68"/>
      <c r="D192" s="68"/>
      <c r="E192" s="68"/>
      <c r="F192" s="68"/>
      <c r="G192" s="68"/>
      <c r="H192" s="68"/>
      <c r="I192" s="68"/>
      <c r="J192" s="68"/>
      <c r="K192" s="68"/>
      <c r="L192" s="68"/>
      <c r="M192" s="10"/>
      <c r="N192" s="50"/>
      <c r="O192" s="72"/>
      <c r="P192" s="50"/>
      <c r="Q192" s="50"/>
      <c r="R192" s="50"/>
      <c r="S192" s="216"/>
      <c r="T192" s="216"/>
      <c r="U192" s="50"/>
      <c r="V192" s="50"/>
      <c r="AK192" s="198"/>
      <c r="AL192" s="198"/>
    </row>
    <row r="193" spans="4:38" hidden="1" x14ac:dyDescent="0.3">
      <c r="D193" s="222"/>
      <c r="E193" s="222"/>
      <c r="F193" s="222"/>
      <c r="G193" s="222"/>
      <c r="H193" s="222"/>
      <c r="I193" s="222"/>
      <c r="J193" s="222"/>
      <c r="K193" s="222"/>
      <c r="L193" s="222"/>
      <c r="M193" s="223"/>
      <c r="N193" s="219"/>
      <c r="O193" s="219"/>
      <c r="P193" s="219"/>
      <c r="Q193" s="219"/>
      <c r="R193" s="219"/>
      <c r="S193" s="227"/>
      <c r="T193" s="228"/>
      <c r="U193" s="219"/>
      <c r="V193" s="219"/>
      <c r="AK193" s="198"/>
      <c r="AL193" s="198"/>
    </row>
    <row r="194" spans="4:38" hidden="1" x14ac:dyDescent="0.3">
      <c r="D194" s="222"/>
      <c r="E194" s="222"/>
      <c r="F194" s="222"/>
      <c r="G194" s="222"/>
      <c r="H194" s="222"/>
      <c r="I194" s="222"/>
      <c r="J194" s="222"/>
      <c r="K194" s="222"/>
      <c r="L194" s="222"/>
      <c r="M194" s="223"/>
      <c r="N194" s="219"/>
      <c r="O194" s="219"/>
      <c r="P194" s="219"/>
      <c r="Q194" s="219"/>
      <c r="R194" s="219"/>
      <c r="S194" s="227"/>
      <c r="T194" s="228"/>
      <c r="U194" s="219"/>
      <c r="V194" s="219"/>
      <c r="AK194" s="198"/>
      <c r="AL194" s="198"/>
    </row>
    <row r="195" spans="4:38" hidden="1" x14ac:dyDescent="0.3">
      <c r="D195" s="222"/>
      <c r="E195" s="222"/>
      <c r="F195" s="222"/>
      <c r="G195" s="222"/>
      <c r="H195" s="222"/>
      <c r="I195" s="222"/>
      <c r="J195" s="222"/>
      <c r="K195" s="222"/>
      <c r="L195" s="222"/>
      <c r="M195" s="223"/>
      <c r="N195" s="219"/>
      <c r="O195" s="219"/>
      <c r="P195" s="219"/>
      <c r="Q195" s="219"/>
      <c r="R195" s="219"/>
      <c r="S195" s="227"/>
      <c r="T195" s="228"/>
      <c r="U195" s="219"/>
      <c r="V195" s="219"/>
      <c r="AK195" s="198"/>
      <c r="AL195" s="198"/>
    </row>
    <row r="196" spans="4:38" hidden="1" x14ac:dyDescent="0.3">
      <c r="D196" s="222"/>
      <c r="E196" s="222"/>
      <c r="F196" s="222"/>
      <c r="G196" s="222"/>
      <c r="H196" s="222"/>
      <c r="I196" s="222"/>
      <c r="J196" s="222"/>
      <c r="K196" s="222"/>
      <c r="L196" s="222"/>
      <c r="M196" s="223"/>
      <c r="N196" s="219"/>
      <c r="O196" s="219"/>
      <c r="P196" s="219"/>
      <c r="Q196" s="219"/>
      <c r="R196" s="219"/>
      <c r="S196" s="229"/>
      <c r="T196" s="228"/>
      <c r="U196" s="219"/>
      <c r="V196" s="219"/>
      <c r="AK196" s="198"/>
      <c r="AL196" s="198"/>
    </row>
    <row r="197" spans="4:38" hidden="1" x14ac:dyDescent="0.3">
      <c r="D197" s="222"/>
      <c r="E197" s="222"/>
      <c r="F197" s="222"/>
      <c r="G197" s="222"/>
      <c r="H197" s="222"/>
      <c r="I197" s="222"/>
      <c r="J197" s="222"/>
      <c r="K197" s="222"/>
      <c r="L197" s="222"/>
      <c r="M197" s="223"/>
      <c r="N197" s="219"/>
      <c r="O197" s="219"/>
      <c r="P197" s="225"/>
      <c r="Q197" s="219"/>
      <c r="R197" s="219"/>
      <c r="S197" s="227"/>
      <c r="T197" s="228"/>
      <c r="U197" s="219"/>
      <c r="V197" s="219"/>
      <c r="W197" s="12" t="s">
        <v>181</v>
      </c>
      <c r="X197" s="44">
        <f>SUM(X4:X192)</f>
        <v>636756.29</v>
      </c>
      <c r="Y197" s="44">
        <f>SUM(Y4:Y192)</f>
        <v>275669.32</v>
      </c>
      <c r="Z197" s="44">
        <f>SUM(Z4:Z192)</f>
        <v>105.16</v>
      </c>
      <c r="AA197" s="44">
        <f>SUM(AA4:AA192)</f>
        <v>369309.16000000003</v>
      </c>
      <c r="AB197" s="44">
        <f>SUM(AB4:AB192)</f>
        <v>165701.44</v>
      </c>
      <c r="AD197" s="44">
        <f t="shared" ref="AD197:AJ197" si="13">SUM(AD4:AD192)</f>
        <v>2991945.71</v>
      </c>
      <c r="AE197" s="44">
        <f t="shared" si="13"/>
        <v>731741.34000000008</v>
      </c>
      <c r="AF197" s="44">
        <f t="shared" si="13"/>
        <v>117084.04999999999</v>
      </c>
      <c r="AG197" s="44">
        <f t="shared" si="13"/>
        <v>1458766.39</v>
      </c>
      <c r="AH197" s="44">
        <f t="shared" si="13"/>
        <v>144522.51999999999</v>
      </c>
      <c r="AI197" s="44">
        <f t="shared" si="13"/>
        <v>1537398.61</v>
      </c>
      <c r="AJ197" s="44">
        <f t="shared" si="13"/>
        <v>1800.74</v>
      </c>
      <c r="AK197" s="198"/>
      <c r="AL197" s="198"/>
    </row>
    <row r="198" spans="4:38" hidden="1" x14ac:dyDescent="0.3">
      <c r="D198" s="222"/>
      <c r="E198" s="222"/>
      <c r="F198" s="222"/>
      <c r="G198" s="222"/>
      <c r="H198" s="222"/>
      <c r="I198" s="222"/>
      <c r="J198" s="222"/>
      <c r="K198" s="222"/>
      <c r="L198" s="222"/>
      <c r="M198" s="223"/>
      <c r="N198" s="219"/>
      <c r="O198" s="219"/>
      <c r="P198" s="219"/>
      <c r="Q198" s="219"/>
      <c r="R198" s="219"/>
      <c r="S198" s="228"/>
      <c r="T198" s="228"/>
      <c r="U198" s="219"/>
      <c r="V198" s="219"/>
    </row>
    <row r="199" spans="4:38" hidden="1" x14ac:dyDescent="0.3">
      <c r="D199" s="222"/>
      <c r="E199" s="222"/>
      <c r="F199" s="222"/>
      <c r="G199" s="222"/>
      <c r="H199" s="222"/>
      <c r="I199" s="222"/>
      <c r="J199" s="222"/>
      <c r="K199" s="222"/>
      <c r="L199" s="222"/>
      <c r="M199" s="223"/>
      <c r="N199" s="219"/>
      <c r="O199" s="219"/>
      <c r="P199" s="219"/>
      <c r="Q199" s="219"/>
      <c r="R199" s="219"/>
      <c r="S199" s="228"/>
      <c r="T199" s="228"/>
      <c r="U199" s="219"/>
      <c r="V199" s="219"/>
    </row>
    <row r="200" spans="4:38" hidden="1" x14ac:dyDescent="0.3">
      <c r="D200" s="221"/>
      <c r="E200" s="221"/>
      <c r="F200" s="221"/>
      <c r="G200" s="221"/>
      <c r="H200" s="221"/>
      <c r="I200" s="221"/>
      <c r="J200" s="221"/>
      <c r="K200" s="221"/>
      <c r="L200" s="221"/>
      <c r="M200" s="219"/>
      <c r="N200" s="224"/>
      <c r="O200" s="219"/>
      <c r="P200" s="219"/>
      <c r="Q200" s="219"/>
      <c r="R200" s="219"/>
      <c r="S200" s="228"/>
      <c r="T200" s="228"/>
      <c r="U200" s="219"/>
      <c r="V200" s="219"/>
      <c r="W200"/>
    </row>
    <row r="201" spans="4:38" hidden="1" x14ac:dyDescent="0.3">
      <c r="D201" s="221"/>
      <c r="E201" s="221"/>
      <c r="F201" s="221"/>
      <c r="G201" s="221"/>
      <c r="H201" s="221"/>
      <c r="I201" s="221"/>
      <c r="J201" s="221"/>
      <c r="K201" s="221"/>
      <c r="L201" s="221"/>
      <c r="M201" s="219"/>
      <c r="N201" s="224"/>
      <c r="O201" s="219"/>
      <c r="P201" s="226"/>
      <c r="Q201" s="219"/>
      <c r="R201" s="219"/>
      <c r="S201" s="228"/>
      <c r="T201" s="228"/>
      <c r="U201" s="219"/>
      <c r="V201" s="219"/>
      <c r="W201"/>
    </row>
    <row r="202" spans="4:38" hidden="1" x14ac:dyDescent="0.3">
      <c r="D202" s="221"/>
      <c r="E202" s="221"/>
      <c r="F202" s="221"/>
      <c r="G202" s="221"/>
      <c r="H202" s="221"/>
      <c r="I202" s="221"/>
      <c r="J202" s="221"/>
      <c r="K202" s="221"/>
      <c r="L202" s="221"/>
      <c r="M202" s="219"/>
      <c r="N202" s="219"/>
      <c r="O202" s="219"/>
      <c r="P202" s="219"/>
      <c r="Q202" s="219"/>
      <c r="R202" s="219"/>
      <c r="S202" s="228"/>
      <c r="T202" s="228"/>
      <c r="U202" s="219"/>
      <c r="V202" s="219"/>
    </row>
    <row r="203" spans="4:38" hidden="1" x14ac:dyDescent="0.3">
      <c r="D203" s="222"/>
      <c r="E203" s="222"/>
      <c r="F203" s="222"/>
      <c r="G203" s="222"/>
      <c r="H203" s="222"/>
      <c r="I203" s="222"/>
      <c r="J203" s="222"/>
      <c r="K203" s="222"/>
      <c r="L203" s="222"/>
      <c r="M203" s="223"/>
      <c r="N203" s="219"/>
      <c r="O203" s="219"/>
      <c r="P203" s="219"/>
      <c r="Q203" s="219"/>
      <c r="R203" s="219"/>
      <c r="S203" s="228"/>
      <c r="T203" s="228"/>
      <c r="U203" s="219"/>
      <c r="V203" s="219"/>
    </row>
    <row r="204" spans="4:38" hidden="1" x14ac:dyDescent="0.3">
      <c r="D204" s="222"/>
      <c r="E204" s="222"/>
      <c r="F204" s="222"/>
      <c r="G204" s="222"/>
      <c r="H204" s="222"/>
      <c r="I204" s="222"/>
      <c r="J204" s="222"/>
      <c r="K204" s="222"/>
      <c r="L204" s="222"/>
      <c r="M204" s="223"/>
      <c r="N204" s="219"/>
      <c r="O204" s="219"/>
      <c r="P204" s="219"/>
      <c r="Q204" s="219"/>
      <c r="R204" s="219"/>
      <c r="S204" s="228"/>
      <c r="T204" s="228"/>
      <c r="U204" s="219"/>
      <c r="V204" s="219"/>
    </row>
    <row r="205" spans="4:38" hidden="1" x14ac:dyDescent="0.3">
      <c r="D205" s="222"/>
      <c r="E205" s="222"/>
      <c r="F205" s="222"/>
      <c r="G205" s="222"/>
      <c r="H205" s="222"/>
      <c r="I205" s="222"/>
      <c r="J205" s="222"/>
      <c r="K205" s="222"/>
      <c r="L205" s="222"/>
      <c r="M205" s="223"/>
      <c r="N205" s="219"/>
      <c r="O205" s="219"/>
      <c r="P205" s="219"/>
      <c r="Q205" s="219"/>
      <c r="R205" s="219"/>
      <c r="S205" s="228"/>
      <c r="T205" s="228"/>
      <c r="U205" s="219"/>
      <c r="V205" s="219"/>
    </row>
    <row r="206" spans="4:38" hidden="1" x14ac:dyDescent="0.3">
      <c r="D206" s="222"/>
      <c r="E206" s="222"/>
      <c r="F206" s="222"/>
      <c r="G206" s="222"/>
      <c r="H206" s="222"/>
      <c r="I206" s="222"/>
      <c r="J206" s="222"/>
      <c r="K206" s="222"/>
      <c r="L206" s="222"/>
      <c r="M206" s="223"/>
      <c r="N206" s="219"/>
      <c r="O206" s="219"/>
      <c r="P206" s="219"/>
      <c r="Q206" s="219"/>
      <c r="R206" s="219"/>
      <c r="S206" s="228"/>
      <c r="T206" s="228"/>
      <c r="U206" s="219"/>
      <c r="V206" s="219"/>
    </row>
    <row r="207" spans="4:38" hidden="1" x14ac:dyDescent="0.3">
      <c r="D207" s="222"/>
      <c r="E207" s="222"/>
      <c r="F207" s="222"/>
      <c r="G207" s="222"/>
      <c r="H207" s="222"/>
      <c r="I207" s="222"/>
      <c r="J207" s="222"/>
      <c r="K207" s="222"/>
      <c r="L207" s="222"/>
      <c r="M207" s="223"/>
      <c r="N207" s="219"/>
      <c r="O207" s="219"/>
      <c r="P207" s="219"/>
      <c r="Q207" s="219"/>
      <c r="R207" s="219"/>
      <c r="S207" s="228"/>
      <c r="T207" s="228"/>
      <c r="U207" s="219"/>
      <c r="V207" s="219"/>
    </row>
    <row r="208" spans="4:38" hidden="1" x14ac:dyDescent="0.3">
      <c r="D208" s="222"/>
      <c r="E208" s="222"/>
      <c r="F208" s="222"/>
      <c r="G208" s="222"/>
      <c r="H208" s="222"/>
      <c r="I208" s="222"/>
      <c r="J208" s="222"/>
      <c r="K208" s="222"/>
      <c r="L208" s="222"/>
      <c r="M208" s="223"/>
      <c r="N208" s="219"/>
      <c r="O208" s="219"/>
      <c r="P208" s="219"/>
      <c r="Q208" s="219"/>
      <c r="R208" s="219"/>
      <c r="S208" s="228"/>
      <c r="T208" s="228"/>
      <c r="U208" s="219"/>
      <c r="V208" s="219"/>
    </row>
    <row r="209" spans="1:16" hidden="1" x14ac:dyDescent="0.3">
      <c r="B209" s="221"/>
      <c r="C209" s="221"/>
      <c r="D209" s="222"/>
      <c r="E209" s="222"/>
      <c r="F209" s="222"/>
      <c r="G209" s="222"/>
      <c r="H209" s="222"/>
      <c r="I209" s="222"/>
      <c r="J209" s="222"/>
      <c r="K209" s="222"/>
      <c r="L209" s="222"/>
      <c r="M209" s="223"/>
      <c r="N209" s="219"/>
      <c r="O209" s="219"/>
      <c r="P209" s="219"/>
    </row>
    <row r="210" spans="1:16" hidden="1" x14ac:dyDescent="0.3">
      <c r="B210" s="221"/>
      <c r="C210" s="221"/>
      <c r="D210" s="222"/>
      <c r="E210" s="222"/>
      <c r="F210" s="222"/>
      <c r="G210" s="222"/>
      <c r="H210" s="222"/>
      <c r="I210" s="222"/>
      <c r="J210" s="222"/>
      <c r="K210" s="222"/>
      <c r="L210" s="222"/>
      <c r="M210" s="223"/>
      <c r="N210" s="219"/>
      <c r="O210" s="219"/>
      <c r="P210" s="219"/>
    </row>
    <row r="211" spans="1:16" hidden="1" x14ac:dyDescent="0.3">
      <c r="B211" s="221"/>
      <c r="C211" s="221"/>
      <c r="D211" s="222"/>
      <c r="E211" s="222"/>
      <c r="F211" s="222"/>
      <c r="G211" s="222"/>
      <c r="H211" s="222"/>
      <c r="I211" s="222"/>
      <c r="J211" s="222"/>
      <c r="K211" s="222"/>
      <c r="L211" s="222"/>
      <c r="N211" s="219"/>
      <c r="O211" s="219"/>
      <c r="P211" s="219"/>
    </row>
    <row r="212" spans="1:16" hidden="1" x14ac:dyDescent="0.3">
      <c r="B212" s="221"/>
      <c r="C212" s="221"/>
      <c r="D212" s="222"/>
      <c r="E212" s="222"/>
      <c r="F212" s="222"/>
      <c r="G212" s="222"/>
      <c r="H212" s="222"/>
      <c r="I212" s="222"/>
      <c r="J212" s="222"/>
      <c r="K212" s="222"/>
      <c r="L212" s="222"/>
      <c r="M212" s="223"/>
      <c r="N212" s="219"/>
      <c r="O212" s="219"/>
      <c r="P212" s="219"/>
    </row>
    <row r="213" spans="1:16" hidden="1" x14ac:dyDescent="0.3">
      <c r="B213" s="221"/>
      <c r="C213" s="221"/>
      <c r="D213" s="222"/>
      <c r="E213" s="222"/>
      <c r="F213" s="222"/>
      <c r="G213" s="222"/>
      <c r="H213" s="222"/>
      <c r="I213" s="222"/>
      <c r="J213" s="222"/>
      <c r="K213" s="222"/>
      <c r="L213" s="222"/>
      <c r="M213" s="223"/>
      <c r="N213" s="219"/>
      <c r="O213" s="219"/>
      <c r="P213" s="219"/>
    </row>
    <row r="214" spans="1:16" hidden="1" x14ac:dyDescent="0.3">
      <c r="B214" s="221"/>
      <c r="C214" s="221"/>
      <c r="D214" s="222"/>
      <c r="E214" s="222"/>
      <c r="F214" s="222"/>
      <c r="G214" s="222"/>
      <c r="H214" s="222"/>
      <c r="I214" s="222"/>
      <c r="J214" s="222"/>
      <c r="K214" s="222"/>
      <c r="L214" s="222"/>
      <c r="M214" s="223"/>
      <c r="N214" s="219"/>
      <c r="O214" s="219"/>
      <c r="P214" s="219"/>
    </row>
    <row r="215" spans="1:16" hidden="1" x14ac:dyDescent="0.3">
      <c r="B215" s="221"/>
      <c r="C215" s="221"/>
      <c r="D215" s="222"/>
      <c r="E215" s="222"/>
      <c r="F215" s="222"/>
      <c r="G215" s="222"/>
      <c r="H215" s="222"/>
      <c r="I215" s="222"/>
      <c r="J215" s="222"/>
      <c r="K215" s="222"/>
      <c r="L215" s="222"/>
      <c r="M215" s="223"/>
      <c r="N215" s="219"/>
      <c r="O215" s="219"/>
      <c r="P215" s="219"/>
    </row>
    <row r="216" spans="1:16" hidden="1" x14ac:dyDescent="0.3">
      <c r="B216" s="221"/>
      <c r="C216" s="221"/>
      <c r="D216" s="222"/>
      <c r="E216" s="222"/>
      <c r="F216" s="222"/>
      <c r="G216" s="222"/>
      <c r="H216" s="222"/>
      <c r="I216" s="222"/>
      <c r="J216" s="222"/>
      <c r="K216" s="222"/>
      <c r="L216" s="222"/>
      <c r="M216" s="223"/>
      <c r="N216" s="219"/>
      <c r="O216" s="219"/>
      <c r="P216" s="219"/>
    </row>
    <row r="217" spans="1:16" hidden="1" x14ac:dyDescent="0.3">
      <c r="B217" s="221"/>
      <c r="C217" s="221"/>
      <c r="D217" s="222"/>
      <c r="E217" s="222"/>
      <c r="F217" s="222"/>
      <c r="G217" s="222"/>
      <c r="H217" s="222"/>
      <c r="I217" s="222"/>
      <c r="J217" s="222"/>
      <c r="K217" s="222"/>
      <c r="L217" s="222"/>
      <c r="M217" s="223"/>
      <c r="N217" s="219"/>
      <c r="O217" s="219"/>
      <c r="P217" s="219"/>
    </row>
    <row r="218" spans="1:16" hidden="1" x14ac:dyDescent="0.3">
      <c r="B218" s="221"/>
      <c r="C218" s="221"/>
      <c r="D218" s="222"/>
      <c r="E218" s="222"/>
      <c r="F218" s="222"/>
      <c r="G218" s="222"/>
      <c r="H218" s="222"/>
      <c r="I218" s="222"/>
      <c r="J218" s="222"/>
      <c r="K218" s="222"/>
      <c r="L218" s="222"/>
      <c r="M218" s="223"/>
      <c r="N218" s="219"/>
      <c r="O218" s="219"/>
      <c r="P218" s="219"/>
    </row>
    <row r="219" spans="1:16" hidden="1" x14ac:dyDescent="0.3">
      <c r="B219" s="221"/>
      <c r="C219" s="221"/>
      <c r="D219" s="222"/>
      <c r="E219" s="222"/>
      <c r="F219" s="222"/>
      <c r="G219" s="222"/>
      <c r="H219" s="222"/>
      <c r="I219" s="222"/>
      <c r="J219" s="222"/>
      <c r="K219" s="222"/>
      <c r="L219" s="222"/>
      <c r="N219" s="219"/>
      <c r="O219" s="219"/>
      <c r="P219" s="219"/>
    </row>
    <row r="220" spans="1:16" hidden="1" x14ac:dyDescent="0.3">
      <c r="B220" s="221"/>
      <c r="C220" s="221"/>
      <c r="D220" s="222"/>
      <c r="E220" s="222"/>
      <c r="F220" s="222"/>
      <c r="G220" s="222"/>
      <c r="H220" s="222"/>
      <c r="I220" s="222"/>
      <c r="J220" s="222"/>
      <c r="K220" s="222"/>
      <c r="L220" s="222"/>
      <c r="N220" s="219"/>
      <c r="O220" s="219"/>
      <c r="P220" s="219"/>
    </row>
    <row r="221" spans="1:16" hidden="1" x14ac:dyDescent="0.3">
      <c r="B221" s="221"/>
      <c r="C221" s="221"/>
      <c r="D221" s="222"/>
      <c r="E221" s="222"/>
      <c r="F221" s="222"/>
      <c r="G221" s="222"/>
      <c r="H221" s="222"/>
      <c r="I221" s="222"/>
      <c r="J221" s="222"/>
      <c r="K221" s="222"/>
      <c r="L221" s="222"/>
      <c r="M221" s="223"/>
      <c r="N221" s="219"/>
      <c r="O221" s="219"/>
      <c r="P221" s="219"/>
    </row>
    <row r="222" spans="1:16" hidden="1" x14ac:dyDescent="0.3">
      <c r="B222" s="221"/>
      <c r="C222" s="221"/>
      <c r="D222" s="222"/>
      <c r="E222" s="222"/>
      <c r="F222" s="222"/>
      <c r="G222" s="222"/>
      <c r="H222" s="222"/>
      <c r="I222" s="222"/>
      <c r="J222" s="222"/>
      <c r="K222" s="222"/>
      <c r="L222" s="222"/>
      <c r="M222" s="223"/>
      <c r="N222" s="219"/>
      <c r="O222" s="219"/>
      <c r="P222" s="219"/>
    </row>
    <row r="223" spans="1:16" hidden="1" x14ac:dyDescent="0.3">
      <c r="B223" s="221"/>
      <c r="C223" s="221"/>
      <c r="D223" s="222"/>
      <c r="E223" s="222"/>
      <c r="F223" s="222"/>
      <c r="G223" s="222"/>
      <c r="H223" s="222"/>
      <c r="I223" s="222"/>
      <c r="J223" s="222"/>
      <c r="K223" s="222"/>
      <c r="L223" s="222"/>
      <c r="M223" s="223"/>
      <c r="N223" s="219"/>
      <c r="O223" s="219"/>
      <c r="P223" s="219"/>
    </row>
    <row r="224" spans="1:16" hidden="1" x14ac:dyDescent="0.3">
      <c r="A224" s="14">
        <v>1</v>
      </c>
      <c r="B224" s="221"/>
      <c r="C224" s="221"/>
      <c r="D224" s="222"/>
      <c r="E224" s="222"/>
      <c r="F224" s="222"/>
      <c r="G224" s="222"/>
      <c r="H224" s="222"/>
      <c r="I224" s="222"/>
      <c r="J224" s="222"/>
      <c r="K224" s="222"/>
      <c r="L224" s="222"/>
      <c r="M224" s="223"/>
      <c r="N224" s="219"/>
      <c r="O224" s="219"/>
      <c r="P224" s="219"/>
    </row>
    <row r="228" spans="5:19" x14ac:dyDescent="0.3">
      <c r="S228" s="208">
        <f>SUM(S95,S138,S139,S171)</f>
        <v>193391.46000000002</v>
      </c>
    </row>
    <row r="229" spans="5:19" x14ac:dyDescent="0.3">
      <c r="I229" s="63"/>
      <c r="J229" s="63"/>
      <c r="K229" s="63"/>
      <c r="L229" s="63"/>
      <c r="M229" s="9"/>
      <c r="N229" s="55"/>
    </row>
    <row r="230" spans="5:19" x14ac:dyDescent="0.3">
      <c r="I230" s="63"/>
      <c r="J230" s="63"/>
      <c r="K230" s="63"/>
      <c r="L230" s="63"/>
      <c r="M230" s="9"/>
      <c r="N230" s="56"/>
    </row>
    <row r="231" spans="5:19" x14ac:dyDescent="0.3">
      <c r="I231" s="63"/>
      <c r="J231" s="63"/>
      <c r="K231" s="63"/>
      <c r="L231" s="63"/>
      <c r="M231" s="9"/>
      <c r="N231" s="7"/>
    </row>
    <row r="232" spans="5:19" x14ac:dyDescent="0.3">
      <c r="I232" s="64"/>
      <c r="J232" s="65"/>
      <c r="K232" s="65"/>
      <c r="L232" s="63"/>
      <c r="M232" s="9"/>
      <c r="N232" s="57"/>
    </row>
    <row r="233" spans="5:19" x14ac:dyDescent="0.3">
      <c r="E233" s="74"/>
      <c r="F233" s="74"/>
      <c r="I233" s="63"/>
      <c r="J233" s="63"/>
      <c r="K233" s="63"/>
      <c r="L233" s="63"/>
      <c r="M233" s="9"/>
      <c r="N233" s="55"/>
    </row>
    <row r="234" spans="5:19" x14ac:dyDescent="0.3">
      <c r="I234" s="63"/>
      <c r="J234" s="63"/>
      <c r="K234" s="63"/>
      <c r="L234" s="63"/>
      <c r="M234" s="9"/>
      <c r="N234" s="7"/>
    </row>
    <row r="235" spans="5:19" x14ac:dyDescent="0.3">
      <c r="I235" s="63"/>
      <c r="J235" s="63"/>
      <c r="K235" s="63"/>
      <c r="L235" s="63"/>
      <c r="M235" s="9"/>
      <c r="N235" s="57"/>
    </row>
    <row r="236" spans="5:19" x14ac:dyDescent="0.3">
      <c r="I236" s="63"/>
      <c r="J236" s="63"/>
      <c r="K236" s="63"/>
      <c r="L236" s="63"/>
      <c r="M236" s="9"/>
      <c r="N236" s="7"/>
    </row>
  </sheetData>
  <autoFilter ref="A1:AR224" xr:uid="{3F0F337F-42C2-6441-85D6-D166938C9C3F}">
    <filterColumn colId="2">
      <filters>
        <filter val="Bard Peripheral Vascular, Inc."/>
        <filter val="BD"/>
      </filters>
    </filterColumn>
    <sortState xmlns:xlrd2="http://schemas.microsoft.com/office/spreadsheetml/2017/richdata2" ref="A2:AR223">
      <sortCondition ref="O1:O223"/>
    </sortState>
  </autoFilter>
  <phoneticPr fontId="10" type="noConversion"/>
  <hyperlinks>
    <hyperlink ref="M15" r:id="rId1" tooltip="4052.25253C" display="https://contracts.tractmanager.com/contracts/contractsummary.aspx?id=25253" xr:uid="{1FED0336-E90B-45D0-BF15-C6AD70C64AC4}"/>
    <hyperlink ref="M16" r:id="rId2" tooltip="4052.25253C" display="https://contracts.tractmanager.com/contracts/contractsummary.aspx?id=25253" xr:uid="{5D160EC0-C5C4-41D5-8999-5D05B5333036}"/>
    <hyperlink ref="M17" r:id="rId3" tooltip="4052.25253C" display="https://contracts.tractmanager.com/contracts/contractsummary.aspx?id=25253" xr:uid="{D823D001-4E1F-469A-9FF7-B9027C94E376}"/>
    <hyperlink ref="M18" r:id="rId4" tooltip="4052.30585C" display="https://contracts.tractmanager.com/contracts/contractsummary.aspx?id=30585" xr:uid="{3058BA9D-9AF6-49B1-B334-3F03B247C13C}"/>
    <hyperlink ref="M19" r:id="rId5" tooltip="4052.30584C" display="https://contracts.tractmanager.com/contracts/contractsummary.aspx?id=30584" xr:uid="{E279A168-A359-4E6A-B9FD-5D35CE7C0F75}"/>
    <hyperlink ref="M20" r:id="rId6" tooltip="4052.30583C" display="https://contracts.tractmanager.com/contracts/contractsummary.aspx?id=30583" xr:uid="{7D9777C0-42D2-4C19-A3B0-A8CFAA0EED22}"/>
    <hyperlink ref="M65" r:id="rId7" display="https://contracts.tractmanager.com/contracts/contractsummary.aspx?id=25253" xr:uid="{7A000CDD-3E15-416A-B339-16FFA539FBEB}"/>
    <hyperlink ref="M72" r:id="rId8" tooltip="4052.25253C" display="https://contracts.tractmanager.com/contracts/contractsummary.aspx?id=25253" xr:uid="{4DE2D3CC-BF9E-4282-B4EA-D3C531345869}"/>
    <hyperlink ref="M73" r:id="rId9" tooltip="4052.25253C" display="https://contracts.tractmanager.com/contracts/contractsummary.aspx?id=25253" xr:uid="{0B9929F3-B08A-46C3-854B-A8CE8BB387EF}"/>
    <hyperlink ref="M75" r:id="rId10" tooltip="4052.30585C" display="https://contracts.tractmanager.com/contracts/contractsummary.aspx?id=30585" xr:uid="{E78710A0-34E1-409F-A959-1E4613C647A5}"/>
    <hyperlink ref="M76" r:id="rId11" tooltip="4052.30584C" display="https://contracts.tractmanager.com/contracts/contractsummary.aspx?id=30584" xr:uid="{63382D1F-D5F6-48A0-904F-C6933A0A0B5E}"/>
    <hyperlink ref="M77" r:id="rId12" tooltip="4052.30583C" display="https://contracts.tractmanager.com/contracts/contractsummary.aspx?id=30583" xr:uid="{643F64DE-8DEB-423C-92F6-B513ED1D0D21}"/>
    <hyperlink ref="M133" r:id="rId13" tooltip="4052.25253C" display="https://contracts.tractmanager.com/contracts/contractsummary.aspx?id=25253" xr:uid="{C889D3FB-234D-4B92-A5DE-E24E23602E87}"/>
    <hyperlink ref="M136" r:id="rId14" tooltip="4052.30585C" display="https://contracts.tractmanager.com/contracts/contractsummary.aspx?id=30585" xr:uid="{47734684-E070-4D01-9153-49617826D18B}"/>
    <hyperlink ref="M137" r:id="rId15" tooltip="4052.30585C" display="https://contracts.tractmanager.com/contracts/contractsummary.aspx?id=30585" xr:uid="{917E05C1-3091-4C9E-8357-423EFC8499BB}"/>
    <hyperlink ref="M138" r:id="rId16" tooltip="4052.30584C" display="https://contracts.tractmanager.com/contracts/contractsummary.aspx?id=30584" xr:uid="{8B19FE3C-4D63-48FC-8B1D-983B3669F152}"/>
    <hyperlink ref="M139" r:id="rId17" tooltip="4052.30583C" display="https://contracts.tractmanager.com/contracts/contractsummary.aspx?id=30583" xr:uid="{9D338B18-FF8A-435A-A2D0-B320527A8C58}"/>
    <hyperlink ref="M140" r:id="rId18" display="https://contracts.tractmanager.com/contracts/contractsummary.aspx?id=25253" xr:uid="{167AEEC0-2B74-4D31-8FBF-C657367A2EE9}"/>
    <hyperlink ref="M164" r:id="rId19" tooltip="4052.25253C" display="https://contracts.tractmanager.com/contracts/contractsummary.aspx?id=25253" xr:uid="{3C8DBE26-4568-4A24-BB0E-8B6EEF1B2450}"/>
    <hyperlink ref="M134" r:id="rId20" tooltip="4052.25253C" display="https://contracts.tractmanager.com/contracts/contractsummary.aspx?id=25253" xr:uid="{BA8296BE-F6FE-485A-BBAA-B7D281E3E55B}"/>
    <hyperlink ref="M165" r:id="rId21" tooltip="4052.25253C" display="https://contracts.tractmanager.com/contracts/contractsummary.aspx?id=25253" xr:uid="{9B97E31F-8D3C-47D9-A023-7B3B89C3CBAF}"/>
    <hyperlink ref="M167" r:id="rId22" tooltip="4052.30585C" display="https://contracts.tractmanager.com/contracts/contractsummary.aspx?id=30585" xr:uid="{DE867852-8F1F-40F6-841C-36FEFF61B291}"/>
    <hyperlink ref="M168" r:id="rId23" tooltip="4052.30584C" display="https://contracts.tractmanager.com/contracts/contractsummary.aspx?id=30584" xr:uid="{E950241E-7429-4B37-9CD0-7258DBDB3399}"/>
    <hyperlink ref="M169" r:id="rId24" tooltip="4052.30583C" display="https://contracts.tractmanager.com/contracts/contractsummary.aspx?id=30583" xr:uid="{1D97420F-EC9E-4FED-8290-050670E8A274}"/>
    <hyperlink ref="M166" r:id="rId25" tooltip="4052.25253C" display="https://contracts.tractmanager.com/contracts/contractsummary.aspx?id=25253" xr:uid="{BEE0C4E4-DB29-461C-A452-21980469DC23}"/>
    <hyperlink ref="M74" r:id="rId26" tooltip="4052.25253C" display="https://contracts.tractmanager.com/contracts/contractsummary.aspx?id=25253" xr:uid="{33D6E663-3221-4FD8-BF3F-F55AA64BA16C}"/>
    <hyperlink ref="M135" r:id="rId27" tooltip="4052.25253C" display="https://contracts.tractmanager.com/contracts/contractsummary.aspx?id=25253" xr:uid="{60FE6370-E5C6-49D1-8FBB-A5FD3D3A0495}"/>
    <hyperlink ref="M132" r:id="rId28" tooltip="4052.25253C" display="https://contracts.tractmanager.com/contracts/contractsummary.aspx?id=25253" xr:uid="{6C011F1A-76B8-4BDA-ABFD-2A045FB00F0A}"/>
    <hyperlink ref="M71" r:id="rId29" tooltip="4052.25253C" display="https://contracts.tractmanager.com/contracts/contractsummary.aspx?id=25253" xr:uid="{B3DFD3CA-2C1D-476E-A2FE-13CE383422B6}"/>
    <hyperlink ref="M7" r:id="rId30" tooltip="4052.30387C" display="https://contracts.tractmanager.com/contracts/contractsummary.aspx?id=30387" xr:uid="{CDEC3E45-6622-420F-A910-DBC15FE8801E}"/>
    <hyperlink ref="M55" r:id="rId31" tooltip="4052.30387C" display="https://contracts.tractmanager.com/contracts/contractsummary.aspx?id=30387" xr:uid="{0C617CCD-DB2E-4C2D-9967-4BFC14FE098B}"/>
    <hyperlink ref="M54" r:id="rId32" tooltip="4052.4340C" display="https://contracts.tractmanager.com/contracts/contractsummary.aspx?id=4340" xr:uid="{DD10C048-1C40-478E-8087-86B2708233AC}"/>
    <hyperlink ref="M58" r:id="rId33" tooltip="4052.4340C" display="https://contracts.tractmanager.com/contracts/contractsummary.aspx?id=4340" xr:uid="{576DD38B-6F84-4943-AC35-A96E23912C76}"/>
    <hyperlink ref="M107" r:id="rId34" tooltip="4052.4340C" display="https://contracts.tractmanager.com/contracts/contractsummary.aspx?id=4340" xr:uid="{79BF944D-BBD2-4F1B-B8DC-F40A27D78FC0}"/>
    <hyperlink ref="M130" r:id="rId35" tooltip="4052.4340C" display="https://contracts.tractmanager.com/contracts/contractsummary.aspx?id=4340" xr:uid="{A6F41EC6-BD35-4714-979F-5E3FAB0DDE22}"/>
    <hyperlink ref="M22" r:id="rId36" tooltip="4052.4340C" display="https://contracts.tractmanager.com/contracts/contractsummary.aspx?id=4340" xr:uid="{BE4CBCC1-F50C-49D3-BFC4-18952FA01024}"/>
    <hyperlink ref="M52" r:id="rId37" tooltip="4052.4340C" display="https://contracts.tractmanager.com/contracts/contractsummary.aspx?id=4340" xr:uid="{B2D7A28E-3A75-45ED-9ED5-E334A3DCEFAC}"/>
    <hyperlink ref="M53" r:id="rId38" tooltip="4052.4340C" display="https://contracts.tractmanager.com/contracts/contractsummary.aspx?id=4340" xr:uid="{22600E3C-8DAD-438A-9B98-49F9B0AB9F00}"/>
    <hyperlink ref="M66" r:id="rId39" tooltip="4052.30727C" display="https://contracts.tractmanager.com/contracts/contractsummary.aspx?id=30727" xr:uid="{75C3EADD-BAAB-49E9-BDC0-F20BDE71B722}"/>
    <hyperlink ref="M94" r:id="rId40" tooltip="4052.4340C" display="https://contracts.tractmanager.com/contracts/contractsummary.aspx?id=4340" xr:uid="{B74A8305-1432-442F-BC2C-1A53BC3FDEED}"/>
    <hyperlink ref="M95" r:id="rId41" tooltip="4052.4340C" display="https://contracts.tractmanager.com/contracts/contractsummary.aspx?id=4340" xr:uid="{5EE22911-0EC9-43EE-A287-6F1C9EDE9D62}"/>
    <hyperlink ref="M99" r:id="rId42" tooltip="4052.4340C" display="https://contracts.tractmanager.com/contracts/contractsummary.aspx?id=4340" xr:uid="{85B4BEC4-6471-4E30-999C-5B27A832F93B}"/>
    <hyperlink ref="M117" r:id="rId43" tooltip="4052.4456C" display="https://contracts.tractmanager.com/contracts/contractsummary.aspx?id=4456" xr:uid="{D1FDC4EE-1431-4B95-9899-4D468D686FCE}"/>
    <hyperlink ref="M97" r:id="rId44" tooltip="4052.8474C" display="https://contracts.tractmanager.com/contracts/contractsummary.aspx?id=8474" xr:uid="{FCE0109E-E01E-40E0-83CC-9169E04FD8BA}"/>
    <hyperlink ref="M153" r:id="rId45" tooltip="4052.4456C" display="https://contracts.tractmanager.com/contracts/contractsummary.aspx?id=4456" xr:uid="{FFAA463C-8F59-4154-B68D-FD18B554C570}"/>
    <hyperlink ref="M154" r:id="rId46" tooltip="4052.4456C" display="https://contracts.tractmanager.com/contracts/contractsummary.aspx?id=4456" xr:uid="{229D1DF5-9082-416A-BC27-734AEC3BE593}"/>
    <hyperlink ref="M159" r:id="rId47" tooltip="4052.4340C" display="https://contracts.tractmanager.com/contracts/contractsummary.aspx?id=4340" xr:uid="{8C2DDA5F-299F-4D81-A410-1F9CE4F603DB}"/>
    <hyperlink ref="M11" r:id="rId48" tooltip="4052.8469C" display="https://contracts.tractmanager.com/contracts/contractsummary.aspx?id=8469" xr:uid="{A54860A3-D11D-4C51-AE14-5FA43409DD08}"/>
    <hyperlink ref="M109" r:id="rId49" tooltip="4052.8469C" display="https://contracts.tractmanager.com/contracts/contractsummary.aspx?id=8469" xr:uid="{01269F85-0D2A-4311-82DE-B6C5A8CD2AA5}"/>
    <hyperlink ref="M110" r:id="rId50" tooltip="4052.8469C" display="https://contracts.tractmanager.com/contracts/contractsummary.aspx?id=8469" xr:uid="{19FB19ED-3DBA-49B2-BBC4-E1901B9284BB}"/>
    <hyperlink ref="M178" r:id="rId51" tooltip="4052.8469C" display="https://contracts.tractmanager.com/contracts/contractsummary.aspx?id=8469" xr:uid="{2FE97267-5481-471A-9A1B-3F2B46A2355B}"/>
    <hyperlink ref="M179" r:id="rId52" tooltip="4052.8469C" display="https://contracts.tractmanager.com/contracts/contractsummary.aspx?id=8469" xr:uid="{381453CF-2ABC-4332-9841-240A592D6322}"/>
    <hyperlink ref="M6" r:id="rId53" tooltip="4052.5736C" display="https://contracts.tractmanager.com/contracts/contractsummary.aspx?id=5736" xr:uid="{C939ABEB-B224-4A08-B674-87D527DAE579}"/>
    <hyperlink ref="M8" r:id="rId54" tooltip="4052.5736C" display="https://contracts.tractmanager.com/contracts/contractsummary.aspx?id=5736" xr:uid="{2121C9D5-EE6C-4796-8CE0-CA7FC2DBFC7D}"/>
    <hyperlink ref="M29" r:id="rId55" tooltip="4052.3435C" display="https://contracts.tractmanager.com/contracts/contractsummary.aspx?id=3435" xr:uid="{77EECAA4-DAC0-4230-99C0-FAE9697C63D7}"/>
    <hyperlink ref="M64" r:id="rId56" tooltip="4052.3435C" display="https://contracts.tractmanager.com/contracts/contractsummary.aspx?id=3435" xr:uid="{1459A85B-6B3A-4DA8-B3E7-227BC5180CC7}"/>
    <hyperlink ref="M108" r:id="rId57" tooltip="4052.3435C" display="https://contracts.tractmanager.com/contracts/contractsummary.aspx?id=3435" xr:uid="{F665064A-F697-48B6-B071-D8BCCB1AB62E}"/>
    <hyperlink ref="M158" r:id="rId58" tooltip="4052.3435C" display="https://contracts.tractmanager.com/contracts/contractsummary.aspx?id=3435" xr:uid="{5828F298-CE41-456E-882F-2B998A04982E}"/>
    <hyperlink ref="M62" r:id="rId59" tooltip="4046.21856C" display="https://contracts.tractmanager.com/contracts/contractsummary.aspx?id=21856" xr:uid="{92041BDA-E9B5-4D0A-8186-40BF2BF0B7C3}"/>
    <hyperlink ref="M63" r:id="rId60" tooltip="4046.21856C" display="https://contracts.tractmanager.com/contracts/contractsummary.aspx?id=21856" xr:uid="{351DDC75-48C4-4BB4-9AA1-D20F0B89AE70}"/>
    <hyperlink ref="M24" r:id="rId61" tooltip="4052.8154C" display="https://contracts.tractmanager.com/contracts/contractsummary.aspx?id=8154" xr:uid="{F178EEF3-EC92-4634-9058-94FD1E82D518}"/>
    <hyperlink ref="M60" r:id="rId62" tooltip="4052.8154C" display="https://contracts.tractmanager.com/contracts/contractsummary.aspx?id=8154" xr:uid="{F942CFD6-308A-4D07-BEC9-1F1C5A3FE76C}"/>
    <hyperlink ref="M30" r:id="rId63" tooltip="4052.7651C" display="https://contracts.tractmanager.com/contracts/contractsummary.aspx?id=7651" xr:uid="{8D5D8BD1-8244-4AD2-8A3C-9AD72E628680}"/>
    <hyperlink ref="M170" r:id="rId64" tooltip="4052.31156C" display="https://contracts.tractmanager.com/contracts/contractsummary.aspx?id=31156" xr:uid="{94A0A9B7-C04F-4B35-9919-5CBD4DD19286}"/>
    <hyperlink ref="M172" r:id="rId65" tooltip="4052.31156C" display="https://contracts.tractmanager.com/contracts/contractsummary.aspx?id=31156" xr:uid="{3754ABBF-2A22-487D-97FC-DFF901BC0974}"/>
    <hyperlink ref="M43" r:id="rId66" tooltip="4052.7486C" display="https://contracts.tractmanager.com/contracts/contractsummary.aspx?id=7486" xr:uid="{D4DE817F-F9F7-458D-AA38-053B40149A33}"/>
    <hyperlink ref="M106" r:id="rId67" tooltip="4052.8623C" display="https://contracts.tractmanager.com/contracts/contractsummary.aspx?id=8623" xr:uid="{7ADBB434-A91E-4D52-B721-10A936B72963}"/>
    <hyperlink ref="M36" r:id="rId68" tooltip="4052.4509C" display="https://contracts.tractmanager.com/contracts/contractsummary.aspx?id=4509" xr:uid="{51E0D8B2-FB9C-4787-B921-FF1439C8B811}"/>
    <hyperlink ref="M48" r:id="rId69" tooltip="4052.4509C" display="https://contracts.tractmanager.com/contracts/contractsummary.aspx?id=4509" xr:uid="{DFE35F65-5679-4B5D-BD49-3892B6F272C7}"/>
    <hyperlink ref="M81" r:id="rId70" tooltip="4052.4509C" display="https://contracts.tractmanager.com/contracts/contractsummary.aspx?id=4509" xr:uid="{C01D2A6D-9101-4C2B-8B5A-17110136EBF6}"/>
    <hyperlink ref="M91" r:id="rId71" tooltip="4052.4509C" display="https://contracts.tractmanager.com/contracts/contractsummary.aspx?id=4509" xr:uid="{38E7EBDD-899C-4C8E-B7CC-93FB87DDB6E0}"/>
    <hyperlink ref="M128" r:id="rId72" tooltip="4052.4509C" display="https://contracts.tractmanager.com/contracts/contractsummary.aspx?id=4509" xr:uid="{3F64AB4C-E50E-4E10-A98F-43DF7508B803}"/>
    <hyperlink ref="M177" r:id="rId73" tooltip="4052.4509C" display="https://contracts.tractmanager.com/contracts/contractsummary.aspx?id=4509" xr:uid="{DDC14535-4522-4AC5-8EEE-AAA8EC189131}"/>
    <hyperlink ref="M144" r:id="rId74" tooltip="4052.8583C" display="https://contracts.tractmanager.com/contracts/contractsummary.aspx?id=8583" xr:uid="{5FD41647-FAF7-43A1-A1C5-94A1CA21A8F2}"/>
    <hyperlink ref="M40" r:id="rId75" tooltip="4052.4509C" display="https://contracts.tractmanager.com/contracts/contractsummary.aspx?id=4509" xr:uid="{78E8D52A-1003-4914-922F-5F81F8A5539C}"/>
    <hyperlink ref="M43:M44" r:id="rId76" tooltip="4052.4509C" display="https://contracts.tractmanager.com/contracts/contractsummary.aspx?id=4509" xr:uid="{B79C64DE-8F88-48E8-B927-E15444367086}"/>
    <hyperlink ref="M51" r:id="rId77" tooltip="4052.8623C" display="https://contracts.tractmanager.com/contracts/contractsummary.aspx?id=8623" xr:uid="{C20F8AAE-108F-4B7B-9A6C-645F2711890D}"/>
    <hyperlink ref="M82:M84" r:id="rId78" tooltip="4052.4509C" display="https://contracts.tractmanager.com/contracts/contractsummary.aspx?id=4509" xr:uid="{0CDDB175-9D80-44E1-B284-259E3D5FA94B}"/>
    <hyperlink ref="M118" r:id="rId79" tooltip="4052.4509C" display="https://contracts.tractmanager.com/contracts/contractsummary.aspx?id=4509" xr:uid="{3E41A593-87A4-48FC-B706-2F88EE528CCD}"/>
    <hyperlink ref="M131" r:id="rId80" tooltip="4052.7651C" display="https://contracts.tractmanager.com/contracts/contractsummary.aspx?id=7651" xr:uid="{B28A721E-8E7D-484C-A40D-E426D6C94F8C}"/>
    <hyperlink ref="M27:M28" r:id="rId81" tooltip="4052.7651C" display="https://contracts.tractmanager.com/contracts/contractsummary.aspx?id=7651" xr:uid="{AFAE264A-DB99-432C-8CEE-F9D705964708}"/>
    <hyperlink ref="M49" r:id="rId82" tooltip="4052.7651C" display="https://contracts.tractmanager.com/contracts/contractsummary.aspx?id=7651" xr:uid="{566C14E9-6079-4968-8189-58392A9C5835}"/>
    <hyperlink ref="M124" r:id="rId83" tooltip="4052.8623C" display="https://contracts.tractmanager.com/contracts/contractsummary.aspx?id=8623" xr:uid="{E33E4729-8526-4888-B1E6-35219648AC2D}"/>
    <hyperlink ref="M143" r:id="rId84" tooltip="4052.7486C" display="https://contracts.tractmanager.com/contracts/contractsummary.aspx?id=7486" xr:uid="{AAC6075D-39F5-40D6-800F-B785F67D7F6B}"/>
    <hyperlink ref="M151" r:id="rId85" tooltip="4052.8623C" display="https://contracts.tractmanager.com/contracts/contractsummary.aspx?id=8623" xr:uid="{0283E032-1B9C-48E4-A7CF-4C6DF668B016}"/>
    <hyperlink ref="M155" r:id="rId86" tooltip="4052.8623C" display="https://contracts.tractmanager.com/contracts/contractsummary.aspx?id=8623" xr:uid="{F3CB5786-0F22-478E-8681-59ACDA82401F}"/>
    <hyperlink ref="M146" r:id="rId87" tooltip="4052.7651C" display="https://contracts.tractmanager.com/contracts/contractsummary.aspx?id=7651" xr:uid="{59FB31AE-DE6D-4765-B5FF-991D0BDFB2D0}"/>
    <hyperlink ref="M145" r:id="rId88" tooltip="4052.8583C" display="https://contracts.tractmanager.com/contracts/contractsummary.aspx?id=8583" xr:uid="{FCF79897-3CD1-47A4-A2CB-E00D1AAD2554}"/>
    <hyperlink ref="M129" r:id="rId89" tooltip="4052.8821C" display="https://contracts.tractmanager.com/contracts/contractsummary.aspx?id=8821" xr:uid="{A6E058AC-B01B-470B-BD4E-EE64D32F7554}"/>
    <hyperlink ref="M4" r:id="rId90" tooltip="4052.12941C" display="https://contracts.tractmanager.com/contracts/contractsummary.aspx?id=12941" xr:uid="{737058FB-F17D-4FD1-A72A-7BFC9E0E7E20}"/>
    <hyperlink ref="M14" r:id="rId91" display="https://contracts.tractmanager.com/contracts/contractsummary.aspx?id=27581" xr:uid="{2BB02E3A-FB10-4495-AB19-D78ED40527E5}"/>
    <hyperlink ref="M113" r:id="rId92" tooltip="4052.6344C" display="https://contracts.tractmanager.com/contracts/contractsummary.aspx?id=6344" xr:uid="{870FCF1F-3003-4A25-9F3B-6680633D80CB}"/>
    <hyperlink ref="M114" r:id="rId93" tooltip="4052.6344C" display="https://contracts.tractmanager.com/contracts/contractsummary.aspx?id=6344" xr:uid="{B8A4C20A-CA18-477F-ADC7-035F92A3B8FB}"/>
    <hyperlink ref="M70" r:id="rId94" tooltip="4052.6437C" display="https://contracts.tractmanager.com/contracts/contractsummary.aspx?id=6437" xr:uid="{B26107B3-3256-4B59-8180-4830CC24AE23}"/>
    <hyperlink ref="M26" r:id="rId95" tooltip="4052.11926C" display="https://contracts.tractmanager.com/contracts/contractsummary.aspx?id=11926" xr:uid="{587B893B-9C17-4A7E-8FAC-EDA6DA744C79}"/>
    <hyperlink ref="M101" r:id="rId96" display="https://contracts.tractmanager.com/contracts/contractsummary.aspx?id=27581" xr:uid="{8BC06EED-6383-4F7A-B80E-337E8240709A}"/>
    <hyperlink ref="M92" r:id="rId97" tooltip="4052.4507C" display="https://contracts.tractmanager.com/contracts/contractsummary.aspx?id=4507" xr:uid="{246791A3-C524-45F0-9F34-3888867D743C}"/>
    <hyperlink ref="M125" r:id="rId98" tooltip="4052.4507C" display="https://contracts.tractmanager.com/contracts/contractsummary.aspx?id=4507" xr:uid="{1BEB3A9F-6E7E-491E-B803-DD106A6D3C2E}"/>
    <hyperlink ref="M89" r:id="rId99" tooltip="4052.4129C" display="https://contracts.tractmanager.com/contracts/contractsummary.aspx?id=4129" xr:uid="{2726E090-5A6F-464C-B0DD-6DC9FCD3D66A}"/>
    <hyperlink ref="M5" r:id="rId100" tooltip="4052.4129C" display="https://contracts.tractmanager.com/contracts/contractsummary.aspx?id=4129" xr:uid="{918D8AA4-E8AF-495F-83E6-A45308A931D1}"/>
    <hyperlink ref="M90" r:id="rId101" tooltip="4052.8505C" display="https://contracts.tractmanager.com/contracts/contractsummary.aspx?id=8505" xr:uid="{5CF372EA-CDEF-4CFB-9EF0-E99C23677A03}"/>
    <hyperlink ref="M41" r:id="rId102" tooltip="4052.4507C" display="https://contracts.tractmanager.com/contracts/contractsummary.aspx?id=4507" xr:uid="{7DE435E4-955F-4117-A41C-3FFB56136982}"/>
    <hyperlink ref="M38" r:id="rId103" tooltip="4052.4129C" display="https://contracts.tractmanager.com/contracts/contractsummary.aspx?id=4129" xr:uid="{D78A9D71-EE47-47CA-AFB0-6E9B24484503}"/>
    <hyperlink ref="M39" r:id="rId104" tooltip="4052.4129C" display="https://contracts.tractmanager.com/contracts/contractsummary.aspx?id=4129" xr:uid="{D1462DFF-7403-4D71-9A5E-B13C986F5DBC}"/>
    <hyperlink ref="M93" r:id="rId105" tooltip="4052.8505C" display="https://contracts.tractmanager.com/contracts/contractsummary.aspx?id=8505" xr:uid="{F712AD89-E99E-4C0F-847E-0123750DBCCD}"/>
    <hyperlink ref="M120" r:id="rId106" tooltip="4052.30400C" display="https://contracts.tractmanager.com/contracts/contractsummary.aspx?id=30400" xr:uid="{38B0E197-EB89-40F0-8846-420FB8F6A92F}"/>
    <hyperlink ref="M121" r:id="rId107" tooltip="4052.30400C" display="https://contracts.tractmanager.com/contracts/contractsummary.aspx?id=30400" xr:uid="{017D2124-C160-47D4-BC20-563A1BE821E5}"/>
    <hyperlink ref="M126" r:id="rId108" tooltip="4052.4129C" display="https://contracts.tractmanager.com/contracts/contractsummary.aspx?id=4129" xr:uid="{8A147C3B-81C6-4353-A8DE-FE85B1986739}"/>
    <hyperlink ref="M147" r:id="rId109" tooltip="4052.8505C" display="https://contracts.tractmanager.com/contracts/contractsummary.aspx?id=8505" xr:uid="{9D80BB80-D754-462E-9A25-FB5C654B86C0}"/>
    <hyperlink ref="M112" r:id="rId110" tooltip="4052.30400C" display="https://contracts.tractmanager.com/contracts/contractsummary.aspx?id=30400" xr:uid="{22CC6BEC-093D-46C0-8151-FD1AB7C4F44F}"/>
    <hyperlink ref="M83" r:id="rId111" tooltip="4052.3570C" display="https://contracts.tractmanager.com/contracts/contractsummary.aspx?id=3570" xr:uid="{226CC800-ACDA-439B-A515-3E3CC04328B2}"/>
    <hyperlink ref="M21" r:id="rId112" tooltip="4052.12317A" display="https://contracts.tractmanager.com/contracts/contractsummary.aspx?id=12317" xr:uid="{BD7D08AA-F6D3-4153-9602-8DE99B0A030E}"/>
    <hyperlink ref="M111" r:id="rId113" tooltip="4052.4129C" display="https://contracts.tractmanager.com/contracts/contractsummary.aspx?id=4129" xr:uid="{C1832366-F8FB-4F35-88C2-18DC6BF50D26}"/>
    <hyperlink ref="M23" r:id="rId114" tooltip="4052.27661C" display="https://contracts.tractmanager.com/contracts/contractsummary.aspx?id=27661" xr:uid="{01C7B8BB-2E18-4264-B15C-F05DDBA84066}"/>
    <hyperlink ref="M103" r:id="rId115" tooltip="4052.27661C" display="https://contracts.tractmanager.com/contracts/contractsummary.aspx?id=27661" xr:uid="{4F350DB4-5F88-4495-8904-4E5C4AC8B6E7}"/>
    <hyperlink ref="M105" r:id="rId116" tooltip="4052.13729C" display="https://contracts.tractmanager.com/contracts/contractsummary.aspx?id=13729" xr:uid="{9F9EA7D4-0454-482F-875A-D1EF46BA50C6}"/>
    <hyperlink ref="M123" r:id="rId117" tooltip="4052.13729C" display="https://contracts.tractmanager.com/contracts/contractsummary.aspx?id=13729" xr:uid="{8598FF8B-D82B-4308-9B2C-57BB3BD4E39E}"/>
    <hyperlink ref="M96" r:id="rId118" tooltip="4052.13729C" display="https://contracts.tractmanager.com/contracts/contractsummary.aspx?id=13729" xr:uid="{3E508436-F053-4DA9-893D-CED11FFC44BA}"/>
    <hyperlink ref="M122" r:id="rId119" tooltip="4052.13705C" display="https://contracts.tractmanager.com/contracts/contractsummary.aspx?id=13705" xr:uid="{F9653CD8-FEF8-4A3E-99C7-6F75AFFC1175}"/>
    <hyperlink ref="M82" r:id="rId120" tooltip="4052.16069C" display="https://contracts.tractmanager.com/contracts/contractsummary.aspx?id=16069" xr:uid="{F8E19C14-7FBC-4271-BA20-052827A5200F}"/>
    <hyperlink ref="M2" r:id="rId121" tooltip="4052.19055C" display="https://contracts.tractmanager.com/contracts/contractsummary.aspx?id=19055" xr:uid="{F59C564A-0155-4AF2-8FE2-B2ABD6B815DF}"/>
    <hyperlink ref="M3" r:id="rId122" tooltip="4052.4129C" display="https://contracts.tractmanager.com/contracts/contractsummary.aspx?id=4129" xr:uid="{0D0E411B-4C59-457F-BBB4-740CF450FB3E}"/>
    <hyperlink ref="M12" r:id="rId123" tooltip="4052.19055C" display="https://contracts.tractmanager.com/contracts/contractsummary.aspx?id=19055" xr:uid="{0FBDCC5B-20FB-49C1-BC62-C94F3889ACEE}"/>
    <hyperlink ref="M33" r:id="rId124" tooltip="4052.3522C" display="https://contracts.tractmanager.com/contracts/contractsummary.aspx?id=3522" xr:uid="{9F5268B5-C138-4E78-9B8F-6CC87E0F2A7D}"/>
    <hyperlink ref="M35" r:id="rId125" tooltip="4052.8497C" display="https://contracts.tractmanager.com/contracts/contractsummary.aspx?id=8497" xr:uid="{7315B98B-5022-4EA6-803A-C1E8DD5969FE}"/>
    <hyperlink ref="M57" r:id="rId126" tooltip="4052.3522C" display="https://contracts.tractmanager.com/contracts/contractsummary.aspx?id=3522" xr:uid="{08AD0D9A-EF58-4142-BE53-DE7B966E900B}"/>
    <hyperlink ref="M98" r:id="rId127" tooltip="4052.20406C" display="https://contracts.tractmanager.com/contracts/contractsummary.aspx?id=20406" xr:uid="{1F4A1815-F54F-4A3C-B059-0A31E77F73E9}"/>
    <hyperlink ref="M141" r:id="rId128" tooltip="4052.20406C" display="https://contracts.tractmanager.com/contracts/contractsummary.aspx?id=20406" xr:uid="{24E257B4-4DA6-4F91-BEBE-8D9CA986D1DC}"/>
    <hyperlink ref="M142" r:id="rId129" tooltip="4052.20406C" display="https://contracts.tractmanager.com/contracts/contractsummary.aspx?id=20406" xr:uid="{00A43367-E9E1-48F4-AB90-645781546AF4}"/>
    <hyperlink ref="M150" r:id="rId130" tooltip="4052.20406C" display="https://contracts.tractmanager.com/contracts/contractsummary.aspx?id=20406" xr:uid="{21402470-34DA-46EB-A6DA-17F3406546E5}"/>
    <hyperlink ref="M162" r:id="rId131" tooltip="4052.19055C" display="https://contracts.tractmanager.com/contracts/contractsummary.aspx?id=19055" xr:uid="{861EC866-BE5F-4D25-9451-02DD07C9ED10}"/>
    <hyperlink ref="M163" r:id="rId132" tooltip="4052.3522C" display="https://contracts.tractmanager.com/contracts/contractsummary.aspx?id=3522" xr:uid="{AE501862-12D8-4AC5-A461-84D11D0AA052}"/>
    <hyperlink ref="M152" r:id="rId133" display="https://contracts.tractmanager.com/contracts/contractsummary.aspx?id=27581" xr:uid="{9F444FE3-521D-4BCD-A7B3-C8E02B387E9F}"/>
    <hyperlink ref="M102" r:id="rId134" tooltip="4052.8499C" display="https://contracts.tractmanager.com/contracts/contractsummary.aspx?id=8499" xr:uid="{1F69CC2F-4C96-4A3D-AA03-20E04CAB6A2B}"/>
    <hyperlink ref="M171" r:id="rId135" tooltip="4052.8623C" display="https://contracts.tractmanager.com/contracts/contractsummary.aspx?id=8623" xr:uid="{38FD0DE8-A818-4E38-B744-542F28E4084B}"/>
    <hyperlink ref="M34" r:id="rId136" tooltip="4052.12590C" display="https://contracts.tractmanager.com/contracts/contractsummary.aspx?id=12590" xr:uid="{950DDF4A-326E-428C-9181-800F2DEBF0A3}"/>
    <hyperlink ref="M9" r:id="rId137" tooltip="4047.31115C" display="https://contracts.tractmanager.com/contracts/contractsummary.aspx?id=31115" xr:uid="{0AC55CA7-40B5-4734-BDC0-F34B7DAEAF26}"/>
    <hyperlink ref="M104" r:id="rId138" tooltip="4052.29192A" display="https://contracts.tractmanager.com/contracts/contractsummary.aspx?id=29192" xr:uid="{30607DE7-4EEA-4F92-8CF8-7D83A051BCEB}"/>
    <hyperlink ref="M59" r:id="rId139" tooltip="4052.3570C" display="https://contracts.tractmanager.com/contracts/contractsummary.aspx?id=3570" xr:uid="{DEC530CF-A470-42C7-B2D3-7B28DBD51A6F}"/>
    <hyperlink ref="M156" r:id="rId140" tooltip="4052.5862C" display="https://contracts.tractmanager.com/contracts/contractsummary.aspx?id=5862" xr:uid="{42677F55-52C9-4BBA-88E7-B56E8E3524C7}"/>
    <hyperlink ref="M173" r:id="rId141" tooltip="4052.5862C" display="https://contracts.tractmanager.com/contracts/contractsummary.aspx?id=5862" xr:uid="{68FCAB7E-0CE6-42F4-ADA6-0DF56EAA9D26}"/>
    <hyperlink ref="M160" r:id="rId142" tooltip="4052.8474C" display="https://contracts.tractmanager.com/contracts/contractsummary.aspx?id=8474" xr:uid="{EB24EF5D-5149-4236-9061-245C584839D0}"/>
    <hyperlink ref="M161" r:id="rId143" tooltip="4052.8474C" display="https://contracts.tractmanager.com/contracts/contractsummary.aspx?id=8474" xr:uid="{D3A4B281-A2D4-458C-AA46-FAFDA435617F}"/>
  </hyperlinks>
  <pageMargins left="0.7" right="0.7" top="0.75" bottom="0.75" header="0.3" footer="0.3"/>
  <pageSetup orientation="portrait" horizontalDpi="1200" verticalDpi="1200" r:id="rId14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DD022-7C91-4D60-9919-071ABF55DB9C}">
  <sheetPr filterMode="1"/>
  <dimension ref="A1:U190"/>
  <sheetViews>
    <sheetView topLeftCell="F1" workbookViewId="0">
      <selection activeCell="H206" sqref="H206"/>
    </sheetView>
  </sheetViews>
  <sheetFormatPr defaultRowHeight="15.6" x14ac:dyDescent="0.3"/>
  <cols>
    <col min="1" max="1" width="10.5" bestFit="1" customWidth="1"/>
    <col min="2" max="2" width="16.5" bestFit="1" customWidth="1"/>
    <col min="3" max="3" width="17.3984375" bestFit="1" customWidth="1"/>
    <col min="4" max="4" width="55.19921875" bestFit="1" customWidth="1"/>
    <col min="5" max="5" width="20.8984375" bestFit="1" customWidth="1"/>
    <col min="6" max="6" width="10.09765625" bestFit="1" customWidth="1"/>
    <col min="7" max="7" width="17.8984375" bestFit="1" customWidth="1"/>
    <col min="8" max="8" width="14.09765625" bestFit="1" customWidth="1"/>
    <col min="9" max="9" width="15.19921875" bestFit="1" customWidth="1"/>
    <col min="10" max="10" width="15.09765625" bestFit="1" customWidth="1"/>
    <col min="11" max="11" width="15" bestFit="1" customWidth="1"/>
    <col min="12" max="12" width="15.8984375" bestFit="1" customWidth="1"/>
    <col min="13" max="13" width="14.19921875" bestFit="1" customWidth="1"/>
    <col min="14" max="14" width="12.19921875" bestFit="1" customWidth="1"/>
    <col min="15" max="15" width="12.5" bestFit="1" customWidth="1"/>
    <col min="16" max="16" width="12.19921875" bestFit="1" customWidth="1"/>
    <col min="17" max="17" width="8.5" bestFit="1" customWidth="1"/>
    <col min="18" max="18" width="10.19921875" bestFit="1" customWidth="1"/>
    <col min="19" max="19" width="9" customWidth="1"/>
    <col min="20" max="20" width="12.69921875" bestFit="1" customWidth="1"/>
    <col min="21" max="21" width="14" customWidth="1"/>
  </cols>
  <sheetData>
    <row r="1" spans="1:21" ht="36" x14ac:dyDescent="0.3">
      <c r="A1" s="29" t="s">
        <v>595</v>
      </c>
      <c r="B1" s="30" t="s">
        <v>45</v>
      </c>
      <c r="C1" s="30" t="s">
        <v>46</v>
      </c>
      <c r="D1" s="30" t="s">
        <v>47</v>
      </c>
      <c r="E1" s="30" t="s">
        <v>48</v>
      </c>
      <c r="F1" s="30" t="s">
        <v>49</v>
      </c>
      <c r="G1" s="30" t="s">
        <v>50</v>
      </c>
      <c r="H1" s="30" t="s">
        <v>596</v>
      </c>
      <c r="I1" s="30" t="s">
        <v>597</v>
      </c>
      <c r="J1" s="30" t="s">
        <v>598</v>
      </c>
      <c r="K1" s="30" t="s">
        <v>599</v>
      </c>
      <c r="L1" s="30" t="s">
        <v>600</v>
      </c>
      <c r="M1" s="30" t="s">
        <v>601</v>
      </c>
      <c r="N1" s="30" t="s">
        <v>602</v>
      </c>
      <c r="O1" s="30" t="s">
        <v>603</v>
      </c>
      <c r="P1" s="30" t="s">
        <v>604</v>
      </c>
      <c r="Q1" s="30" t="s">
        <v>65</v>
      </c>
      <c r="R1" s="30" t="s">
        <v>605</v>
      </c>
      <c r="S1" s="30" t="s">
        <v>606</v>
      </c>
      <c r="T1" s="30" t="s">
        <v>51</v>
      </c>
      <c r="U1" s="30" t="s">
        <v>52</v>
      </c>
    </row>
    <row r="2" spans="1:21" hidden="1" x14ac:dyDescent="0.3">
      <c r="A2" s="1">
        <v>1</v>
      </c>
      <c r="B2" s="1" t="s">
        <v>413</v>
      </c>
      <c r="C2" s="1" t="s">
        <v>413</v>
      </c>
      <c r="D2" s="1" t="s">
        <v>607</v>
      </c>
      <c r="E2" s="15" t="s">
        <v>1</v>
      </c>
      <c r="F2" s="3">
        <v>44939</v>
      </c>
      <c r="G2" s="1" t="s">
        <v>2</v>
      </c>
      <c r="H2" s="28">
        <v>18836</v>
      </c>
      <c r="I2" s="28">
        <v>8822</v>
      </c>
      <c r="J2" s="1"/>
      <c r="K2" s="1"/>
      <c r="L2" s="1"/>
      <c r="M2" s="28">
        <v>39589</v>
      </c>
      <c r="N2" s="28">
        <v>228940</v>
      </c>
      <c r="O2" s="1"/>
      <c r="P2" s="28">
        <v>8801</v>
      </c>
      <c r="Q2" s="1"/>
      <c r="R2" s="1"/>
      <c r="S2" s="28">
        <v>18968</v>
      </c>
      <c r="T2" s="28">
        <v>323957</v>
      </c>
      <c r="U2" s="1" t="s">
        <v>3</v>
      </c>
    </row>
    <row r="3" spans="1:21" ht="28.8" hidden="1" x14ac:dyDescent="0.3">
      <c r="A3" s="1">
        <v>2</v>
      </c>
      <c r="B3" s="1" t="s">
        <v>399</v>
      </c>
      <c r="C3" s="1" t="s">
        <v>637</v>
      </c>
      <c r="D3" s="2" t="s">
        <v>638</v>
      </c>
      <c r="E3" s="1" t="s">
        <v>639</v>
      </c>
      <c r="F3" s="3">
        <v>44917</v>
      </c>
      <c r="G3" s="1" t="s">
        <v>275</v>
      </c>
      <c r="H3" s="1"/>
      <c r="I3" s="1"/>
      <c r="J3" s="1"/>
      <c r="K3" s="1"/>
      <c r="L3" s="1"/>
      <c r="M3" s="1"/>
      <c r="N3" s="28">
        <v>52022</v>
      </c>
      <c r="O3" s="1"/>
      <c r="P3" s="1"/>
      <c r="Q3" s="1"/>
      <c r="R3" s="1"/>
      <c r="S3" s="1"/>
      <c r="T3" s="28">
        <v>52022</v>
      </c>
      <c r="U3" s="1" t="s">
        <v>3</v>
      </c>
    </row>
    <row r="4" spans="1:21" ht="28.8" hidden="1" x14ac:dyDescent="0.3">
      <c r="A4" s="1">
        <v>3</v>
      </c>
      <c r="B4" s="1" t="s">
        <v>399</v>
      </c>
      <c r="C4" s="1" t="s">
        <v>640</v>
      </c>
      <c r="D4" s="2" t="s">
        <v>641</v>
      </c>
      <c r="E4" s="1" t="s">
        <v>642</v>
      </c>
      <c r="F4" s="3">
        <v>44839</v>
      </c>
      <c r="G4" s="1" t="s">
        <v>98</v>
      </c>
      <c r="H4" s="1"/>
      <c r="I4" s="1"/>
      <c r="J4" s="1"/>
      <c r="K4" s="1"/>
      <c r="L4" s="1"/>
      <c r="M4" s="1"/>
      <c r="N4" s="28">
        <v>354</v>
      </c>
      <c r="O4" s="1"/>
      <c r="P4" s="1"/>
      <c r="Q4" s="1"/>
      <c r="R4" s="1"/>
      <c r="S4" s="1"/>
      <c r="T4" s="28">
        <v>354</v>
      </c>
      <c r="U4" s="1" t="s">
        <v>3</v>
      </c>
    </row>
    <row r="5" spans="1:21" ht="28.8" hidden="1" x14ac:dyDescent="0.3">
      <c r="A5" s="1">
        <v>4</v>
      </c>
      <c r="B5" s="1" t="s">
        <v>399</v>
      </c>
      <c r="C5" s="1" t="s">
        <v>608</v>
      </c>
      <c r="D5" s="2" t="s">
        <v>643</v>
      </c>
      <c r="E5" s="1" t="s">
        <v>644</v>
      </c>
      <c r="F5" s="3">
        <v>44895</v>
      </c>
      <c r="G5" s="1" t="s">
        <v>275</v>
      </c>
      <c r="H5" s="1"/>
      <c r="I5" s="1"/>
      <c r="J5" s="1"/>
      <c r="K5" s="1"/>
      <c r="L5" s="1"/>
      <c r="M5" s="1"/>
      <c r="N5" s="28">
        <v>99324</v>
      </c>
      <c r="O5" s="1"/>
      <c r="P5" s="1"/>
      <c r="Q5" s="1"/>
      <c r="R5" s="1"/>
      <c r="S5" s="1"/>
      <c r="T5" s="28">
        <v>99324</v>
      </c>
      <c r="U5" s="1" t="s">
        <v>3</v>
      </c>
    </row>
    <row r="6" spans="1:21" ht="28.8" hidden="1" x14ac:dyDescent="0.3">
      <c r="A6" s="1">
        <v>5</v>
      </c>
      <c r="B6" s="1" t="s">
        <v>399</v>
      </c>
      <c r="C6" s="1" t="s">
        <v>608</v>
      </c>
      <c r="D6" s="2" t="s">
        <v>645</v>
      </c>
      <c r="E6" s="1" t="s">
        <v>646</v>
      </c>
      <c r="F6" s="3">
        <v>44936</v>
      </c>
      <c r="G6" s="1" t="s">
        <v>275</v>
      </c>
      <c r="H6" s="1"/>
      <c r="I6" s="1"/>
      <c r="J6" s="1"/>
      <c r="K6" s="1"/>
      <c r="L6" s="1"/>
      <c r="M6" s="1"/>
      <c r="N6" s="28">
        <v>1379694</v>
      </c>
      <c r="O6" s="1"/>
      <c r="P6" s="1"/>
      <c r="Q6" s="1"/>
      <c r="R6" s="1"/>
      <c r="S6" s="1"/>
      <c r="T6" s="28">
        <v>1379694</v>
      </c>
      <c r="U6" s="1" t="s">
        <v>3</v>
      </c>
    </row>
    <row r="7" spans="1:21" hidden="1" x14ac:dyDescent="0.3">
      <c r="A7" s="1">
        <v>6</v>
      </c>
      <c r="B7" s="1" t="s">
        <v>399</v>
      </c>
      <c r="C7" s="1" t="s">
        <v>608</v>
      </c>
      <c r="D7" s="2" t="s">
        <v>609</v>
      </c>
      <c r="E7" s="1" t="s">
        <v>610</v>
      </c>
      <c r="F7" s="1"/>
      <c r="G7" s="1" t="s">
        <v>2</v>
      </c>
      <c r="H7" s="1"/>
      <c r="I7" s="1"/>
      <c r="J7" s="1"/>
      <c r="K7" s="1"/>
      <c r="L7" s="1"/>
      <c r="M7" s="1"/>
      <c r="N7" s="28">
        <v>356971</v>
      </c>
      <c r="O7" s="1"/>
      <c r="P7" s="1"/>
      <c r="Q7" s="1"/>
      <c r="R7" s="1"/>
      <c r="S7" s="1"/>
      <c r="T7" s="28">
        <v>356971</v>
      </c>
      <c r="U7" s="1" t="s">
        <v>3</v>
      </c>
    </row>
    <row r="8" spans="1:21" hidden="1" x14ac:dyDescent="0.3">
      <c r="A8" s="1">
        <v>7</v>
      </c>
      <c r="B8" s="1" t="s">
        <v>413</v>
      </c>
      <c r="C8" s="1" t="s">
        <v>413</v>
      </c>
      <c r="D8" s="2" t="s">
        <v>611</v>
      </c>
      <c r="E8" s="1"/>
      <c r="F8" s="3">
        <v>44974</v>
      </c>
      <c r="G8" s="1" t="s">
        <v>2</v>
      </c>
      <c r="H8" s="1"/>
      <c r="I8" s="1"/>
      <c r="J8" s="1"/>
      <c r="K8" s="1"/>
      <c r="L8" s="1"/>
      <c r="M8" s="1"/>
      <c r="N8" s="1"/>
      <c r="O8" s="1"/>
      <c r="P8" s="1"/>
      <c r="Q8" s="1"/>
      <c r="R8" s="1"/>
      <c r="S8" s="1"/>
      <c r="T8" s="28">
        <v>167604</v>
      </c>
      <c r="U8" s="1" t="s">
        <v>8</v>
      </c>
    </row>
    <row r="9" spans="1:21" hidden="1" x14ac:dyDescent="0.3">
      <c r="A9" s="1">
        <v>8</v>
      </c>
      <c r="B9" s="1" t="s">
        <v>413</v>
      </c>
      <c r="C9" s="1" t="s">
        <v>413</v>
      </c>
      <c r="D9" s="2" t="s">
        <v>612</v>
      </c>
      <c r="E9" s="1"/>
      <c r="F9" s="3">
        <v>44981</v>
      </c>
      <c r="G9" s="1" t="s">
        <v>2</v>
      </c>
      <c r="H9" s="1"/>
      <c r="I9" s="1"/>
      <c r="J9" s="1"/>
      <c r="K9" s="1"/>
      <c r="L9" s="1"/>
      <c r="M9" s="1"/>
      <c r="N9" s="1"/>
      <c r="O9" s="1"/>
      <c r="P9" s="1"/>
      <c r="Q9" s="1"/>
      <c r="R9" s="1"/>
      <c r="S9" s="1"/>
      <c r="T9" s="28">
        <v>157500</v>
      </c>
      <c r="U9" s="1" t="s">
        <v>8</v>
      </c>
    </row>
    <row r="10" spans="1:21" hidden="1" x14ac:dyDescent="0.3">
      <c r="A10" s="1">
        <v>9</v>
      </c>
      <c r="B10" s="1" t="s">
        <v>613</v>
      </c>
      <c r="C10" s="1" t="s">
        <v>10</v>
      </c>
      <c r="D10" s="2" t="s">
        <v>614</v>
      </c>
      <c r="E10" s="1"/>
      <c r="F10" s="1"/>
      <c r="G10" s="1" t="s">
        <v>2</v>
      </c>
      <c r="H10" s="1"/>
      <c r="I10" s="1"/>
      <c r="J10" s="1"/>
      <c r="K10" s="1"/>
      <c r="L10" s="1"/>
      <c r="M10" s="1"/>
      <c r="N10" s="1"/>
      <c r="O10" s="1"/>
      <c r="P10" s="1"/>
      <c r="Q10" s="1"/>
      <c r="R10" s="1"/>
      <c r="S10" s="1"/>
      <c r="T10" s="28">
        <v>364000</v>
      </c>
      <c r="U10" s="1" t="s">
        <v>8</v>
      </c>
    </row>
    <row r="11" spans="1:21" hidden="1" x14ac:dyDescent="0.3">
      <c r="A11" s="1">
        <v>10</v>
      </c>
      <c r="B11" s="1" t="s">
        <v>107</v>
      </c>
      <c r="C11" s="1" t="s">
        <v>107</v>
      </c>
      <c r="D11" s="2" t="s">
        <v>647</v>
      </c>
      <c r="E11" s="1" t="s">
        <v>1</v>
      </c>
      <c r="F11" s="3">
        <v>45009</v>
      </c>
      <c r="G11" s="1" t="s">
        <v>275</v>
      </c>
      <c r="H11" s="1"/>
      <c r="I11" s="1"/>
      <c r="J11" s="1"/>
      <c r="K11" s="1"/>
      <c r="L11" s="1"/>
      <c r="M11" s="1"/>
      <c r="N11" s="1"/>
      <c r="O11" s="1"/>
      <c r="P11" s="1"/>
      <c r="Q11" s="1"/>
      <c r="R11" s="1"/>
      <c r="S11" s="1"/>
      <c r="T11" s="28">
        <v>58691</v>
      </c>
      <c r="U11" s="1" t="s">
        <v>16</v>
      </c>
    </row>
    <row r="12" spans="1:21" hidden="1" x14ac:dyDescent="0.3">
      <c r="A12" s="1">
        <v>11</v>
      </c>
      <c r="B12" s="1" t="s">
        <v>107</v>
      </c>
      <c r="C12" s="1" t="s">
        <v>107</v>
      </c>
      <c r="D12" s="2" t="s">
        <v>647</v>
      </c>
      <c r="E12" s="1" t="s">
        <v>1</v>
      </c>
      <c r="F12" s="3">
        <v>45015</v>
      </c>
      <c r="G12" s="1" t="s">
        <v>275</v>
      </c>
      <c r="H12" s="1"/>
      <c r="I12" s="1"/>
      <c r="J12" s="1"/>
      <c r="K12" s="1"/>
      <c r="L12" s="1"/>
      <c r="M12" s="1"/>
      <c r="N12" s="1"/>
      <c r="O12" s="1"/>
      <c r="P12" s="1"/>
      <c r="Q12" s="1"/>
      <c r="R12" s="1"/>
      <c r="S12" s="1"/>
      <c r="T12" s="28">
        <v>75666</v>
      </c>
      <c r="U12" s="1" t="s">
        <v>16</v>
      </c>
    </row>
    <row r="13" spans="1:21" hidden="1" x14ac:dyDescent="0.3">
      <c r="A13" s="1">
        <v>12</v>
      </c>
      <c r="B13" s="1" t="s">
        <v>107</v>
      </c>
      <c r="C13" s="1" t="s">
        <v>107</v>
      </c>
      <c r="D13" s="2" t="s">
        <v>648</v>
      </c>
      <c r="E13" s="1" t="s">
        <v>1</v>
      </c>
      <c r="F13" s="3">
        <v>45027</v>
      </c>
      <c r="G13" s="1" t="s">
        <v>275</v>
      </c>
      <c r="H13" s="1"/>
      <c r="I13" s="1"/>
      <c r="J13" s="1"/>
      <c r="K13" s="1"/>
      <c r="L13" s="1"/>
      <c r="M13" s="1"/>
      <c r="N13" s="1"/>
      <c r="O13" s="1"/>
      <c r="P13" s="1"/>
      <c r="Q13" s="1"/>
      <c r="R13" s="1"/>
      <c r="S13" s="1"/>
      <c r="T13" s="28">
        <v>279334</v>
      </c>
      <c r="U13" s="1" t="s">
        <v>24</v>
      </c>
    </row>
    <row r="14" spans="1:21" hidden="1" x14ac:dyDescent="0.3">
      <c r="A14" s="1">
        <v>13</v>
      </c>
      <c r="B14" s="1" t="s">
        <v>107</v>
      </c>
      <c r="C14" s="1" t="s">
        <v>107</v>
      </c>
      <c r="D14" s="2" t="s">
        <v>647</v>
      </c>
      <c r="E14" s="1" t="s">
        <v>1</v>
      </c>
      <c r="F14" s="3">
        <v>45026</v>
      </c>
      <c r="G14" s="1" t="s">
        <v>275</v>
      </c>
      <c r="H14" s="1"/>
      <c r="I14" s="1"/>
      <c r="J14" s="1"/>
      <c r="K14" s="1"/>
      <c r="L14" s="1"/>
      <c r="M14" s="1"/>
      <c r="N14" s="1"/>
      <c r="O14" s="1"/>
      <c r="P14" s="1"/>
      <c r="Q14" s="1"/>
      <c r="R14" s="1"/>
      <c r="S14" s="1"/>
      <c r="T14" s="28">
        <v>1273658</v>
      </c>
      <c r="U14" s="1" t="s">
        <v>24</v>
      </c>
    </row>
    <row r="15" spans="1:21" hidden="1" x14ac:dyDescent="0.3">
      <c r="A15" s="1">
        <v>14</v>
      </c>
      <c r="B15" s="2" t="s">
        <v>17</v>
      </c>
      <c r="C15" s="2" t="s">
        <v>17</v>
      </c>
      <c r="D15" s="1" t="s">
        <v>649</v>
      </c>
      <c r="E15" s="1" t="s">
        <v>1</v>
      </c>
      <c r="F15" s="3">
        <v>45021</v>
      </c>
      <c r="G15" s="1" t="s">
        <v>98</v>
      </c>
      <c r="H15" s="1"/>
      <c r="I15" s="1"/>
      <c r="J15" s="1"/>
      <c r="K15" s="31"/>
      <c r="L15" s="1"/>
      <c r="M15" s="1"/>
      <c r="N15" s="1"/>
      <c r="O15" s="1"/>
      <c r="P15" s="1"/>
      <c r="Q15" s="1"/>
      <c r="R15" s="1"/>
      <c r="S15" s="1"/>
      <c r="T15" s="28">
        <v>223023</v>
      </c>
      <c r="U15" s="1" t="s">
        <v>24</v>
      </c>
    </row>
    <row r="16" spans="1:21" hidden="1" x14ac:dyDescent="0.3">
      <c r="A16" s="1">
        <v>15</v>
      </c>
      <c r="B16" s="2" t="s">
        <v>17</v>
      </c>
      <c r="C16" s="2" t="s">
        <v>17</v>
      </c>
      <c r="D16" s="1" t="s">
        <v>650</v>
      </c>
      <c r="E16" s="1" t="s">
        <v>1</v>
      </c>
      <c r="F16" s="3">
        <v>45021</v>
      </c>
      <c r="G16" s="1" t="s">
        <v>98</v>
      </c>
      <c r="H16" s="1"/>
      <c r="I16" s="1"/>
      <c r="J16" s="1"/>
      <c r="K16" s="31"/>
      <c r="L16" s="1"/>
      <c r="M16" s="1"/>
      <c r="N16" s="1"/>
      <c r="O16" s="1"/>
      <c r="P16" s="1"/>
      <c r="Q16" s="1"/>
      <c r="R16" s="1"/>
      <c r="S16" s="1"/>
      <c r="T16" s="28">
        <v>295665</v>
      </c>
      <c r="U16" s="1" t="s">
        <v>24</v>
      </c>
    </row>
    <row r="17" spans="1:21" hidden="1" x14ac:dyDescent="0.3">
      <c r="A17" s="1">
        <v>16</v>
      </c>
      <c r="B17" s="2" t="s">
        <v>413</v>
      </c>
      <c r="C17" s="2" t="s">
        <v>413</v>
      </c>
      <c r="D17" s="1" t="s">
        <v>615</v>
      </c>
      <c r="E17" s="1" t="s">
        <v>1</v>
      </c>
      <c r="F17" s="3">
        <v>45072</v>
      </c>
      <c r="G17" s="1" t="s">
        <v>2</v>
      </c>
      <c r="H17" s="1"/>
      <c r="I17" s="1"/>
      <c r="J17" s="1"/>
      <c r="K17" s="31"/>
      <c r="L17" s="1"/>
      <c r="M17" s="1"/>
      <c r="N17" s="1"/>
      <c r="O17" s="1"/>
      <c r="P17" s="1"/>
      <c r="Q17" s="1"/>
      <c r="R17" s="1"/>
      <c r="S17" s="1"/>
      <c r="T17" s="28">
        <v>382340</v>
      </c>
      <c r="U17" s="1" t="s">
        <v>29</v>
      </c>
    </row>
    <row r="18" spans="1:21" ht="28.8" hidden="1" x14ac:dyDescent="0.3">
      <c r="A18" s="1">
        <v>17</v>
      </c>
      <c r="B18" s="2" t="s">
        <v>651</v>
      </c>
      <c r="C18" s="2" t="s">
        <v>651</v>
      </c>
      <c r="D18" s="1" t="s">
        <v>647</v>
      </c>
      <c r="E18" s="1" t="s">
        <v>1</v>
      </c>
      <c r="F18" s="3">
        <v>45068</v>
      </c>
      <c r="G18" s="1" t="s">
        <v>275</v>
      </c>
      <c r="H18" s="1"/>
      <c r="I18" s="1"/>
      <c r="J18" s="1"/>
      <c r="K18" s="31"/>
      <c r="L18" s="1"/>
      <c r="M18" s="1"/>
      <c r="N18" s="1"/>
      <c r="O18" s="1"/>
      <c r="P18" s="1"/>
      <c r="Q18" s="1"/>
      <c r="R18" s="1"/>
      <c r="S18" s="1"/>
      <c r="T18" s="28">
        <v>35600</v>
      </c>
      <c r="U18" s="1" t="s">
        <v>29</v>
      </c>
    </row>
    <row r="19" spans="1:21" hidden="1" x14ac:dyDescent="0.3">
      <c r="A19" s="1">
        <v>18</v>
      </c>
      <c r="B19" s="2" t="s">
        <v>117</v>
      </c>
      <c r="C19" s="2" t="s">
        <v>117</v>
      </c>
      <c r="D19" s="1" t="s">
        <v>647</v>
      </c>
      <c r="E19" s="1" t="s">
        <v>1</v>
      </c>
      <c r="F19" s="3">
        <v>45065</v>
      </c>
      <c r="G19" s="1" t="s">
        <v>98</v>
      </c>
      <c r="H19" s="1"/>
      <c r="I19" s="1"/>
      <c r="J19" s="1"/>
      <c r="K19" s="31"/>
      <c r="L19" s="1"/>
      <c r="M19" s="1"/>
      <c r="N19" s="1"/>
      <c r="O19" s="1"/>
      <c r="P19" s="1"/>
      <c r="Q19" s="1"/>
      <c r="R19" s="1"/>
      <c r="S19" s="1"/>
      <c r="T19" s="28">
        <v>23914</v>
      </c>
      <c r="U19" s="1" t="s">
        <v>29</v>
      </c>
    </row>
    <row r="20" spans="1:21" hidden="1" x14ac:dyDescent="0.3">
      <c r="A20" s="1">
        <v>19</v>
      </c>
      <c r="B20" s="2" t="s">
        <v>107</v>
      </c>
      <c r="C20" s="2" t="s">
        <v>107</v>
      </c>
      <c r="D20" s="1" t="s">
        <v>647</v>
      </c>
      <c r="E20" s="1" t="s">
        <v>1</v>
      </c>
      <c r="F20" s="3">
        <v>45050</v>
      </c>
      <c r="G20" s="1" t="s">
        <v>275</v>
      </c>
      <c r="H20" s="1"/>
      <c r="I20" s="1"/>
      <c r="J20" s="1"/>
      <c r="K20" s="31"/>
      <c r="L20" s="1"/>
      <c r="M20" s="1"/>
      <c r="N20" s="1"/>
      <c r="O20" s="1"/>
      <c r="P20" s="1"/>
      <c r="Q20" s="1"/>
      <c r="R20" s="1"/>
      <c r="S20" s="1"/>
      <c r="T20" s="28">
        <v>343556</v>
      </c>
      <c r="U20" s="1" t="s">
        <v>29</v>
      </c>
    </row>
    <row r="21" spans="1:21" hidden="1" x14ac:dyDescent="0.3">
      <c r="A21" s="1">
        <v>20</v>
      </c>
      <c r="B21" s="2" t="s">
        <v>107</v>
      </c>
      <c r="C21" s="2" t="s">
        <v>107</v>
      </c>
      <c r="D21" s="1" t="s">
        <v>647</v>
      </c>
      <c r="E21" s="1" t="s">
        <v>1</v>
      </c>
      <c r="F21" s="3">
        <v>45050</v>
      </c>
      <c r="G21" s="1" t="s">
        <v>275</v>
      </c>
      <c r="H21" s="1"/>
      <c r="I21" s="1"/>
      <c r="J21" s="1"/>
      <c r="K21" s="31"/>
      <c r="L21" s="1"/>
      <c r="M21" s="1"/>
      <c r="N21" s="1"/>
      <c r="O21" s="1"/>
      <c r="P21" s="1"/>
      <c r="Q21" s="1"/>
      <c r="R21" s="1"/>
      <c r="S21" s="1"/>
      <c r="T21" s="28">
        <v>19616</v>
      </c>
      <c r="U21" s="1" t="s">
        <v>29</v>
      </c>
    </row>
    <row r="22" spans="1:21" hidden="1" x14ac:dyDescent="0.3">
      <c r="A22" s="1">
        <v>21</v>
      </c>
      <c r="B22" s="2" t="s">
        <v>17</v>
      </c>
      <c r="C22" s="2" t="s">
        <v>17</v>
      </c>
      <c r="D22" s="1" t="s">
        <v>652</v>
      </c>
      <c r="E22" s="1" t="s">
        <v>1</v>
      </c>
      <c r="F22" s="3">
        <v>45016</v>
      </c>
      <c r="G22" s="1" t="s">
        <v>98</v>
      </c>
      <c r="H22" s="1"/>
      <c r="I22" s="1"/>
      <c r="J22" s="1"/>
      <c r="K22" s="31"/>
      <c r="L22" s="1"/>
      <c r="M22" s="1"/>
      <c r="N22" s="1"/>
      <c r="O22" s="1"/>
      <c r="P22" s="1"/>
      <c r="Q22" s="1"/>
      <c r="R22" s="1"/>
      <c r="S22" s="1"/>
      <c r="T22" s="28">
        <v>346275</v>
      </c>
      <c r="U22" s="1" t="s">
        <v>31</v>
      </c>
    </row>
    <row r="23" spans="1:21" hidden="1" x14ac:dyDescent="0.3">
      <c r="A23" s="1">
        <v>22</v>
      </c>
      <c r="B23" s="2" t="s">
        <v>413</v>
      </c>
      <c r="C23" s="2" t="s">
        <v>413</v>
      </c>
      <c r="D23" s="1" t="s">
        <v>616</v>
      </c>
      <c r="E23" s="1" t="s">
        <v>1</v>
      </c>
      <c r="F23" s="3">
        <v>45078</v>
      </c>
      <c r="G23" s="1" t="s">
        <v>2</v>
      </c>
      <c r="H23" s="1"/>
      <c r="I23" s="1"/>
      <c r="J23" s="1"/>
      <c r="K23" s="31"/>
      <c r="L23" s="1"/>
      <c r="M23" s="1"/>
      <c r="N23" s="1"/>
      <c r="O23" s="1"/>
      <c r="P23" s="1"/>
      <c r="Q23" s="1"/>
      <c r="R23" s="1"/>
      <c r="S23" s="1"/>
      <c r="T23" s="28">
        <v>140722</v>
      </c>
      <c r="U23" s="1" t="s">
        <v>31</v>
      </c>
    </row>
    <row r="24" spans="1:21" hidden="1" x14ac:dyDescent="0.3">
      <c r="A24" s="1">
        <v>23</v>
      </c>
      <c r="B24" s="2" t="s">
        <v>413</v>
      </c>
      <c r="C24" s="2" t="s">
        <v>413</v>
      </c>
      <c r="D24" s="1" t="s">
        <v>617</v>
      </c>
      <c r="E24" s="1" t="s">
        <v>1</v>
      </c>
      <c r="F24" s="3">
        <v>45107</v>
      </c>
      <c r="G24" s="1" t="s">
        <v>2</v>
      </c>
      <c r="H24" s="1"/>
      <c r="I24" s="1"/>
      <c r="J24" s="1"/>
      <c r="K24" s="31"/>
      <c r="L24" s="1"/>
      <c r="M24" s="1"/>
      <c r="N24" s="1"/>
      <c r="O24" s="1"/>
      <c r="P24" s="1"/>
      <c r="Q24" s="1"/>
      <c r="R24" s="1"/>
      <c r="S24" s="1"/>
      <c r="T24" s="28">
        <v>257617</v>
      </c>
      <c r="U24" s="1" t="s">
        <v>35</v>
      </c>
    </row>
    <row r="25" spans="1:21" ht="28.8" hidden="1" x14ac:dyDescent="0.3">
      <c r="A25" s="1">
        <v>24</v>
      </c>
      <c r="B25" s="2" t="s">
        <v>651</v>
      </c>
      <c r="C25" s="2" t="s">
        <v>651</v>
      </c>
      <c r="D25" s="1" t="s">
        <v>647</v>
      </c>
      <c r="E25" s="1" t="s">
        <v>1</v>
      </c>
      <c r="F25" s="3">
        <v>45110</v>
      </c>
      <c r="G25" s="1" t="s">
        <v>275</v>
      </c>
      <c r="H25" s="1"/>
      <c r="I25" s="1"/>
      <c r="J25" s="1"/>
      <c r="K25" s="31"/>
      <c r="L25" s="1"/>
      <c r="M25" s="1"/>
      <c r="N25" s="1"/>
      <c r="O25" s="1"/>
      <c r="P25" s="1"/>
      <c r="Q25" s="1"/>
      <c r="R25" s="1"/>
      <c r="S25" s="1"/>
      <c r="T25" s="28">
        <v>3500</v>
      </c>
      <c r="U25" s="1" t="s">
        <v>35</v>
      </c>
    </row>
    <row r="26" spans="1:21" hidden="1" x14ac:dyDescent="0.3">
      <c r="A26" s="1">
        <v>25</v>
      </c>
      <c r="B26" s="2" t="s">
        <v>653</v>
      </c>
      <c r="C26" s="2" t="s">
        <v>653</v>
      </c>
      <c r="D26" s="1" t="s">
        <v>654</v>
      </c>
      <c r="E26" s="1" t="s">
        <v>1</v>
      </c>
      <c r="F26" s="3">
        <v>45091</v>
      </c>
      <c r="G26" s="1" t="s">
        <v>98</v>
      </c>
      <c r="H26" s="1"/>
      <c r="I26" s="1"/>
      <c r="J26" s="1"/>
      <c r="K26" s="31"/>
      <c r="L26" s="1"/>
      <c r="M26" s="1"/>
      <c r="N26" s="1"/>
      <c r="O26" s="1"/>
      <c r="P26" s="1"/>
      <c r="Q26" s="1"/>
      <c r="R26" s="1"/>
      <c r="S26" s="1"/>
      <c r="T26" s="28">
        <v>184998</v>
      </c>
      <c r="U26" s="1" t="s">
        <v>35</v>
      </c>
    </row>
    <row r="27" spans="1:21" hidden="1" x14ac:dyDescent="0.3">
      <c r="A27" s="1">
        <v>26</v>
      </c>
      <c r="B27" s="2" t="s">
        <v>107</v>
      </c>
      <c r="C27" s="2" t="s">
        <v>107</v>
      </c>
      <c r="D27" s="1" t="s">
        <v>647</v>
      </c>
      <c r="E27" s="1" t="s">
        <v>1</v>
      </c>
      <c r="F27" s="3">
        <v>45133</v>
      </c>
      <c r="G27" s="1" t="s">
        <v>275</v>
      </c>
      <c r="H27" s="1"/>
      <c r="I27" s="1"/>
      <c r="J27" s="1"/>
      <c r="K27" s="31"/>
      <c r="L27" s="1"/>
      <c r="M27" s="1"/>
      <c r="N27" s="1"/>
      <c r="O27" s="1"/>
      <c r="P27" s="1"/>
      <c r="Q27" s="1"/>
      <c r="R27" s="1"/>
      <c r="S27" s="1"/>
      <c r="T27" s="28">
        <v>105984</v>
      </c>
      <c r="U27" s="1" t="s">
        <v>35</v>
      </c>
    </row>
    <row r="28" spans="1:21" hidden="1" x14ac:dyDescent="0.3">
      <c r="A28" s="1">
        <v>27</v>
      </c>
      <c r="B28" s="2" t="s">
        <v>107</v>
      </c>
      <c r="C28" s="2" t="s">
        <v>107</v>
      </c>
      <c r="D28" s="1" t="s">
        <v>647</v>
      </c>
      <c r="E28" s="1" t="s">
        <v>1</v>
      </c>
      <c r="F28" s="3">
        <v>45133</v>
      </c>
      <c r="G28" s="1" t="s">
        <v>275</v>
      </c>
      <c r="H28" s="1"/>
      <c r="I28" s="1"/>
      <c r="J28" s="1"/>
      <c r="K28" s="31"/>
      <c r="L28" s="1"/>
      <c r="M28" s="1"/>
      <c r="N28" s="1"/>
      <c r="O28" s="1"/>
      <c r="P28" s="1"/>
      <c r="Q28" s="1"/>
      <c r="R28" s="1"/>
      <c r="S28" s="1"/>
      <c r="T28" s="28">
        <v>697756</v>
      </c>
      <c r="U28" s="1" t="s">
        <v>35</v>
      </c>
    </row>
    <row r="29" spans="1:21" hidden="1" x14ac:dyDescent="0.3">
      <c r="A29" s="1">
        <v>28</v>
      </c>
      <c r="B29" s="2" t="s">
        <v>413</v>
      </c>
      <c r="C29" s="2" t="s">
        <v>413</v>
      </c>
      <c r="D29" s="1" t="s">
        <v>618</v>
      </c>
      <c r="E29" s="1" t="s">
        <v>1</v>
      </c>
      <c r="F29" s="3">
        <v>45149</v>
      </c>
      <c r="G29" s="1" t="s">
        <v>2</v>
      </c>
      <c r="H29" s="1"/>
      <c r="I29" s="1"/>
      <c r="J29" s="1"/>
      <c r="K29" s="31"/>
      <c r="L29" s="1"/>
      <c r="M29" s="1"/>
      <c r="N29" s="1"/>
      <c r="O29" s="1"/>
      <c r="P29" s="1"/>
      <c r="Q29" s="1"/>
      <c r="R29" s="1"/>
      <c r="S29" s="1"/>
      <c r="T29" s="28">
        <v>36400</v>
      </c>
      <c r="U29" s="1" t="s">
        <v>38</v>
      </c>
    </row>
    <row r="30" spans="1:21" hidden="1" x14ac:dyDescent="0.3">
      <c r="A30" s="1">
        <v>29</v>
      </c>
      <c r="B30" s="2" t="s">
        <v>653</v>
      </c>
      <c r="C30" s="2" t="s">
        <v>653</v>
      </c>
      <c r="D30" s="1" t="s">
        <v>647</v>
      </c>
      <c r="E30" s="1" t="s">
        <v>1</v>
      </c>
      <c r="F30" s="1"/>
      <c r="G30" s="1" t="s">
        <v>98</v>
      </c>
      <c r="H30" s="1"/>
      <c r="I30" s="1"/>
      <c r="J30" s="1"/>
      <c r="K30" s="31"/>
      <c r="L30" s="1"/>
      <c r="M30" s="1"/>
      <c r="N30" s="1"/>
      <c r="O30" s="1"/>
      <c r="P30" s="1"/>
      <c r="Q30" s="1"/>
      <c r="R30" s="1"/>
      <c r="S30" s="1"/>
      <c r="T30" s="28">
        <v>27072</v>
      </c>
      <c r="U30" s="1" t="s">
        <v>38</v>
      </c>
    </row>
    <row r="31" spans="1:21" hidden="1" x14ac:dyDescent="0.3">
      <c r="A31" s="1">
        <v>30</v>
      </c>
      <c r="B31" s="2" t="s">
        <v>413</v>
      </c>
      <c r="C31" s="2" t="s">
        <v>413</v>
      </c>
      <c r="D31" s="1" t="s">
        <v>619</v>
      </c>
      <c r="E31" s="1" t="s">
        <v>1</v>
      </c>
      <c r="F31" s="3">
        <v>45156</v>
      </c>
      <c r="G31" s="1" t="s">
        <v>2</v>
      </c>
      <c r="H31" s="1"/>
      <c r="I31" s="1"/>
      <c r="J31" s="1"/>
      <c r="K31" s="31"/>
      <c r="L31" s="1"/>
      <c r="M31" s="1"/>
      <c r="N31" s="1"/>
      <c r="O31" s="1"/>
      <c r="P31" s="1"/>
      <c r="Q31" s="1"/>
      <c r="R31" s="1"/>
      <c r="S31" s="1"/>
      <c r="T31" s="28">
        <v>242072</v>
      </c>
      <c r="U31" s="1" t="s">
        <v>38</v>
      </c>
    </row>
    <row r="32" spans="1:21" ht="28.8" hidden="1" x14ac:dyDescent="0.3">
      <c r="A32" s="1">
        <v>31</v>
      </c>
      <c r="B32" s="2" t="s">
        <v>651</v>
      </c>
      <c r="C32" s="2" t="s">
        <v>651</v>
      </c>
      <c r="D32" s="1" t="s">
        <v>609</v>
      </c>
      <c r="E32" s="1" t="s">
        <v>1</v>
      </c>
      <c r="F32" s="3">
        <v>45161</v>
      </c>
      <c r="G32" s="1" t="s">
        <v>275</v>
      </c>
      <c r="H32" s="1"/>
      <c r="I32" s="1"/>
      <c r="J32" s="1"/>
      <c r="K32" s="31"/>
      <c r="L32" s="1"/>
      <c r="M32" s="1"/>
      <c r="N32" s="1"/>
      <c r="O32" s="1"/>
      <c r="P32" s="1"/>
      <c r="Q32" s="1"/>
      <c r="R32" s="1"/>
      <c r="S32" s="1"/>
      <c r="T32" s="28">
        <v>7000</v>
      </c>
      <c r="U32" s="1" t="s">
        <v>38</v>
      </c>
    </row>
    <row r="33" spans="1:21" hidden="1" x14ac:dyDescent="0.3">
      <c r="A33" s="1">
        <v>32</v>
      </c>
      <c r="B33" s="2" t="s">
        <v>413</v>
      </c>
      <c r="C33" s="2" t="s">
        <v>413</v>
      </c>
      <c r="D33" s="1" t="s">
        <v>620</v>
      </c>
      <c r="E33" s="1" t="s">
        <v>1</v>
      </c>
      <c r="F33" s="3">
        <v>45163</v>
      </c>
      <c r="G33" s="1" t="s">
        <v>2</v>
      </c>
      <c r="H33" s="1"/>
      <c r="I33" s="1"/>
      <c r="J33" s="1"/>
      <c r="K33" s="31"/>
      <c r="L33" s="1"/>
      <c r="M33" s="1"/>
      <c r="N33" s="1"/>
      <c r="O33" s="1"/>
      <c r="P33" s="1"/>
      <c r="Q33" s="1"/>
      <c r="R33" s="1"/>
      <c r="S33" s="1"/>
      <c r="T33" s="28">
        <v>121500</v>
      </c>
      <c r="U33" s="1" t="s">
        <v>38</v>
      </c>
    </row>
    <row r="34" spans="1:21" hidden="1" x14ac:dyDescent="0.3">
      <c r="A34" s="1">
        <v>33</v>
      </c>
      <c r="B34" s="2" t="s">
        <v>413</v>
      </c>
      <c r="C34" s="2" t="s">
        <v>413</v>
      </c>
      <c r="D34" s="1" t="s">
        <v>620</v>
      </c>
      <c r="E34" s="1" t="s">
        <v>1</v>
      </c>
      <c r="F34" s="3">
        <v>45163</v>
      </c>
      <c r="G34" s="1" t="s">
        <v>2</v>
      </c>
      <c r="H34" s="1"/>
      <c r="I34" s="1"/>
      <c r="J34" s="1"/>
      <c r="K34" s="31"/>
      <c r="L34" s="1"/>
      <c r="M34" s="1"/>
      <c r="N34" s="1"/>
      <c r="O34" s="1"/>
      <c r="P34" s="1"/>
      <c r="Q34" s="1"/>
      <c r="R34" s="1"/>
      <c r="S34" s="1"/>
      <c r="T34" s="28">
        <v>40500</v>
      </c>
      <c r="U34" s="1" t="s">
        <v>38</v>
      </c>
    </row>
    <row r="35" spans="1:21" x14ac:dyDescent="0.3">
      <c r="A35" s="1">
        <v>34</v>
      </c>
      <c r="B35" s="2" t="s">
        <v>108</v>
      </c>
      <c r="C35" s="2" t="s">
        <v>108</v>
      </c>
      <c r="D35" s="1" t="s">
        <v>655</v>
      </c>
      <c r="E35" s="1" t="s">
        <v>1</v>
      </c>
      <c r="F35" s="3">
        <v>45145</v>
      </c>
      <c r="G35" s="1" t="s">
        <v>275</v>
      </c>
      <c r="H35" s="1"/>
      <c r="I35" s="1"/>
      <c r="J35" s="1"/>
      <c r="K35" s="31"/>
      <c r="L35" s="1"/>
      <c r="M35" s="1"/>
      <c r="N35" s="1"/>
      <c r="O35" s="1"/>
      <c r="P35" s="1"/>
      <c r="Q35" s="1"/>
      <c r="R35" s="1"/>
      <c r="S35" s="1"/>
      <c r="T35" s="28">
        <v>204840</v>
      </c>
      <c r="U35" s="1" t="s">
        <v>38</v>
      </c>
    </row>
    <row r="36" spans="1:21" x14ac:dyDescent="0.3">
      <c r="A36" s="1">
        <v>35</v>
      </c>
      <c r="B36" s="2" t="s">
        <v>108</v>
      </c>
      <c r="C36" s="2" t="s">
        <v>108</v>
      </c>
      <c r="D36" s="1" t="s">
        <v>647</v>
      </c>
      <c r="E36" s="1" t="s">
        <v>1</v>
      </c>
      <c r="F36" s="3">
        <v>45068</v>
      </c>
      <c r="G36" s="1" t="s">
        <v>275</v>
      </c>
      <c r="H36" s="1"/>
      <c r="I36" s="1"/>
      <c r="J36" s="1"/>
      <c r="K36" s="31"/>
      <c r="L36" s="1"/>
      <c r="M36" s="1"/>
      <c r="N36" s="1"/>
      <c r="O36" s="1"/>
      <c r="P36" s="1"/>
      <c r="Q36" s="1"/>
      <c r="R36" s="1"/>
      <c r="S36" s="1"/>
      <c r="T36" s="28">
        <v>172840</v>
      </c>
      <c r="U36" s="1" t="s">
        <v>38</v>
      </c>
    </row>
    <row r="37" spans="1:21" hidden="1" x14ac:dyDescent="0.3">
      <c r="A37" s="1">
        <v>36</v>
      </c>
      <c r="B37" s="2" t="s">
        <v>235</v>
      </c>
      <c r="C37" s="2" t="s">
        <v>235</v>
      </c>
      <c r="D37" s="1" t="s">
        <v>656</v>
      </c>
      <c r="E37" s="1" t="s">
        <v>1</v>
      </c>
      <c r="F37" s="1" t="s">
        <v>657</v>
      </c>
      <c r="G37" s="1" t="s">
        <v>275</v>
      </c>
      <c r="H37" s="1"/>
      <c r="I37" s="1"/>
      <c r="J37" s="1"/>
      <c r="K37" s="31"/>
      <c r="L37" s="1"/>
      <c r="M37" s="1"/>
      <c r="N37" s="1"/>
      <c r="O37" s="1"/>
      <c r="P37" s="1"/>
      <c r="Q37" s="1"/>
      <c r="R37" s="1"/>
      <c r="S37" s="1"/>
      <c r="T37" s="28">
        <v>38796</v>
      </c>
      <c r="U37" s="1" t="s">
        <v>67</v>
      </c>
    </row>
    <row r="38" spans="1:21" hidden="1" x14ac:dyDescent="0.3">
      <c r="A38" s="1">
        <v>37</v>
      </c>
      <c r="B38" s="2" t="s">
        <v>413</v>
      </c>
      <c r="C38" s="2" t="s">
        <v>413</v>
      </c>
      <c r="D38" s="1" t="s">
        <v>621</v>
      </c>
      <c r="E38" s="1" t="s">
        <v>1</v>
      </c>
      <c r="F38" s="3">
        <v>44826</v>
      </c>
      <c r="G38" s="1" t="s">
        <v>2</v>
      </c>
      <c r="H38" s="1"/>
      <c r="I38" s="1"/>
      <c r="J38" s="1"/>
      <c r="K38" s="31"/>
      <c r="L38" s="1"/>
      <c r="M38" s="1"/>
      <c r="N38" s="1"/>
      <c r="O38" s="1"/>
      <c r="P38" s="1"/>
      <c r="Q38" s="1"/>
      <c r="R38" s="1"/>
      <c r="S38" s="1"/>
      <c r="T38" s="28">
        <v>172800</v>
      </c>
      <c r="U38" s="1" t="s">
        <v>67</v>
      </c>
    </row>
    <row r="39" spans="1:21" hidden="1" x14ac:dyDescent="0.3">
      <c r="A39" s="1">
        <v>38</v>
      </c>
      <c r="B39" s="2" t="s">
        <v>413</v>
      </c>
      <c r="C39" s="2" t="s">
        <v>413</v>
      </c>
      <c r="D39" s="1" t="s">
        <v>621</v>
      </c>
      <c r="E39" s="1" t="s">
        <v>1</v>
      </c>
      <c r="F39" s="3">
        <v>45191</v>
      </c>
      <c r="G39" s="1" t="s">
        <v>2</v>
      </c>
      <c r="H39" s="1"/>
      <c r="I39" s="1"/>
      <c r="J39" s="1"/>
      <c r="K39" s="31"/>
      <c r="L39" s="1"/>
      <c r="M39" s="1"/>
      <c r="N39" s="1"/>
      <c r="O39" s="1"/>
      <c r="P39" s="1"/>
      <c r="Q39" s="1"/>
      <c r="R39" s="1"/>
      <c r="S39" s="1"/>
      <c r="T39" s="28">
        <v>173616</v>
      </c>
      <c r="U39" s="1" t="s">
        <v>67</v>
      </c>
    </row>
    <row r="40" spans="1:21" hidden="1" x14ac:dyDescent="0.3">
      <c r="A40" s="1">
        <v>39</v>
      </c>
      <c r="B40" s="2" t="s">
        <v>658</v>
      </c>
      <c r="C40" s="2" t="s">
        <v>658</v>
      </c>
      <c r="D40" s="1" t="s">
        <v>659</v>
      </c>
      <c r="E40" s="1" t="s">
        <v>660</v>
      </c>
      <c r="F40" s="3">
        <v>45217</v>
      </c>
      <c r="G40" s="1" t="s">
        <v>661</v>
      </c>
      <c r="H40" s="1"/>
      <c r="I40" s="1"/>
      <c r="J40" s="1"/>
      <c r="K40" s="31"/>
      <c r="L40" s="1"/>
      <c r="M40" s="1"/>
      <c r="N40" s="1"/>
      <c r="O40" s="1"/>
      <c r="P40" s="1"/>
      <c r="Q40" s="1"/>
      <c r="R40" s="1"/>
      <c r="S40" s="1"/>
      <c r="T40" s="28">
        <v>109054</v>
      </c>
      <c r="U40" s="1" t="s">
        <v>191</v>
      </c>
    </row>
    <row r="41" spans="1:21" hidden="1" x14ac:dyDescent="0.3">
      <c r="A41" s="1">
        <v>40</v>
      </c>
      <c r="B41" s="2" t="s">
        <v>658</v>
      </c>
      <c r="C41" s="2" t="s">
        <v>658</v>
      </c>
      <c r="D41" s="1" t="s">
        <v>659</v>
      </c>
      <c r="E41" s="1" t="s">
        <v>662</v>
      </c>
      <c r="F41" s="3">
        <v>45217</v>
      </c>
      <c r="G41" s="1" t="s">
        <v>661</v>
      </c>
      <c r="H41" s="1"/>
      <c r="I41" s="1"/>
      <c r="J41" s="1"/>
      <c r="K41" s="31"/>
      <c r="L41" s="1"/>
      <c r="M41" s="1"/>
      <c r="N41" s="1"/>
      <c r="O41" s="1"/>
      <c r="P41" s="1"/>
      <c r="Q41" s="1"/>
      <c r="R41" s="1"/>
      <c r="S41" s="1"/>
      <c r="T41" s="28">
        <v>37500</v>
      </c>
      <c r="U41" s="1" t="s">
        <v>191</v>
      </c>
    </row>
    <row r="42" spans="1:21" hidden="1" x14ac:dyDescent="0.3">
      <c r="A42" s="1">
        <v>41</v>
      </c>
      <c r="B42" s="2" t="s">
        <v>117</v>
      </c>
      <c r="C42" s="2" t="s">
        <v>117</v>
      </c>
      <c r="D42" s="1" t="s">
        <v>663</v>
      </c>
      <c r="E42" s="1" t="s">
        <v>664</v>
      </c>
      <c r="F42" s="3">
        <v>45217</v>
      </c>
      <c r="G42" s="1"/>
      <c r="H42" s="1"/>
      <c r="I42" s="1"/>
      <c r="J42" s="1"/>
      <c r="K42" s="31"/>
      <c r="L42" s="1"/>
      <c r="M42" s="1"/>
      <c r="N42" s="1"/>
      <c r="O42" s="1"/>
      <c r="P42" s="1"/>
      <c r="Q42" s="1"/>
      <c r="R42" s="1"/>
      <c r="S42" s="1"/>
      <c r="T42" s="28">
        <v>2906</v>
      </c>
      <c r="U42" s="1" t="s">
        <v>191</v>
      </c>
    </row>
    <row r="43" spans="1:21" hidden="1" x14ac:dyDescent="0.3">
      <c r="A43" s="1">
        <v>42</v>
      </c>
      <c r="B43" s="2" t="s">
        <v>117</v>
      </c>
      <c r="C43" s="2" t="s">
        <v>117</v>
      </c>
      <c r="D43" s="1" t="s">
        <v>665</v>
      </c>
      <c r="E43" s="1" t="s">
        <v>666</v>
      </c>
      <c r="F43" s="3">
        <v>45217</v>
      </c>
      <c r="G43" s="1"/>
      <c r="H43" s="1"/>
      <c r="I43" s="1"/>
      <c r="J43" s="1"/>
      <c r="K43" s="31"/>
      <c r="L43" s="1"/>
      <c r="M43" s="1"/>
      <c r="N43" s="1"/>
      <c r="O43" s="1"/>
      <c r="P43" s="1"/>
      <c r="Q43" s="1"/>
      <c r="R43" s="1"/>
      <c r="S43" s="1"/>
      <c r="T43" s="28">
        <v>2064</v>
      </c>
      <c r="U43" s="1" t="s">
        <v>191</v>
      </c>
    </row>
    <row r="44" spans="1:21" hidden="1" x14ac:dyDescent="0.3">
      <c r="A44" s="1">
        <v>45</v>
      </c>
      <c r="B44" s="2" t="s">
        <v>667</v>
      </c>
      <c r="C44" s="2" t="s">
        <v>399</v>
      </c>
      <c r="D44" s="1" t="s">
        <v>623</v>
      </c>
      <c r="E44" s="1" t="s">
        <v>668</v>
      </c>
      <c r="F44" s="3">
        <v>45217</v>
      </c>
      <c r="G44" s="1" t="s">
        <v>135</v>
      </c>
      <c r="H44" s="1"/>
      <c r="I44" s="1"/>
      <c r="J44" s="1"/>
      <c r="K44" s="31"/>
      <c r="L44" s="1"/>
      <c r="M44" s="1"/>
      <c r="N44" s="1"/>
      <c r="O44" s="1"/>
      <c r="P44" s="1"/>
      <c r="Q44" s="1"/>
      <c r="R44" s="1"/>
      <c r="S44" s="1"/>
      <c r="T44" s="28">
        <v>2417</v>
      </c>
      <c r="U44" s="1" t="s">
        <v>191</v>
      </c>
    </row>
    <row r="45" spans="1:21" hidden="1" x14ac:dyDescent="0.3">
      <c r="A45" s="1">
        <v>46</v>
      </c>
      <c r="B45" s="2" t="s">
        <v>622</v>
      </c>
      <c r="C45" s="2" t="s">
        <v>399</v>
      </c>
      <c r="D45" s="1" t="s">
        <v>623</v>
      </c>
      <c r="E45" s="1" t="s">
        <v>624</v>
      </c>
      <c r="F45" s="3">
        <v>45217</v>
      </c>
      <c r="G45" s="1" t="s">
        <v>2</v>
      </c>
      <c r="H45" s="1"/>
      <c r="I45" s="1"/>
      <c r="J45" s="1"/>
      <c r="K45" s="31"/>
      <c r="L45" s="1"/>
      <c r="M45" s="1"/>
      <c r="N45" s="1"/>
      <c r="O45" s="1"/>
      <c r="P45" s="1"/>
      <c r="Q45" s="1"/>
      <c r="R45" s="1"/>
      <c r="S45" s="1"/>
      <c r="T45" s="28">
        <v>55961</v>
      </c>
      <c r="U45" s="1" t="s">
        <v>191</v>
      </c>
    </row>
    <row r="46" spans="1:21" hidden="1" x14ac:dyDescent="0.3">
      <c r="A46" s="1">
        <v>47</v>
      </c>
      <c r="B46" s="2" t="s">
        <v>625</v>
      </c>
      <c r="C46" s="2" t="s">
        <v>399</v>
      </c>
      <c r="D46" s="1" t="s">
        <v>623</v>
      </c>
      <c r="E46" s="1" t="s">
        <v>626</v>
      </c>
      <c r="F46" s="3">
        <v>45217</v>
      </c>
      <c r="G46" s="1" t="s">
        <v>2</v>
      </c>
      <c r="H46" s="1"/>
      <c r="I46" s="1"/>
      <c r="J46" s="1"/>
      <c r="K46" s="31"/>
      <c r="L46" s="1"/>
      <c r="M46" s="1"/>
      <c r="N46" s="1"/>
      <c r="O46" s="1"/>
      <c r="P46" s="1"/>
      <c r="Q46" s="1"/>
      <c r="R46" s="1"/>
      <c r="S46" s="1"/>
      <c r="T46" s="28">
        <v>119591</v>
      </c>
      <c r="U46" s="1" t="s">
        <v>191</v>
      </c>
    </row>
    <row r="47" spans="1:21" hidden="1" x14ac:dyDescent="0.3">
      <c r="A47" s="1">
        <v>47</v>
      </c>
      <c r="B47" s="2" t="s">
        <v>111</v>
      </c>
      <c r="C47" s="2" t="s">
        <v>669</v>
      </c>
      <c r="D47" s="1" t="s">
        <v>670</v>
      </c>
      <c r="E47" s="1" t="s">
        <v>671</v>
      </c>
      <c r="F47" s="3">
        <v>45217</v>
      </c>
      <c r="G47" s="1" t="s">
        <v>275</v>
      </c>
      <c r="H47" s="1"/>
      <c r="I47" s="1"/>
      <c r="J47" s="1"/>
      <c r="K47" s="31"/>
      <c r="L47" s="1"/>
      <c r="M47" s="1"/>
      <c r="N47" s="1"/>
      <c r="O47" s="1"/>
      <c r="P47" s="1"/>
      <c r="Q47" s="1"/>
      <c r="R47" s="1"/>
      <c r="S47" s="1"/>
      <c r="T47" s="28">
        <v>22871</v>
      </c>
      <c r="U47" s="1" t="s">
        <v>191</v>
      </c>
    </row>
    <row r="48" spans="1:21" hidden="1" x14ac:dyDescent="0.3">
      <c r="A48" s="1">
        <v>48</v>
      </c>
      <c r="B48" s="2" t="s">
        <v>17</v>
      </c>
      <c r="C48" s="2" t="s">
        <v>17</v>
      </c>
      <c r="D48" s="1" t="s">
        <v>672</v>
      </c>
      <c r="E48" s="1" t="s">
        <v>1</v>
      </c>
      <c r="F48" s="3">
        <v>45210</v>
      </c>
      <c r="G48" s="1" t="s">
        <v>98</v>
      </c>
      <c r="H48" s="1"/>
      <c r="I48" s="1"/>
      <c r="J48" s="1"/>
      <c r="K48" s="31"/>
      <c r="L48" s="1"/>
      <c r="M48" s="1"/>
      <c r="N48" s="1"/>
      <c r="O48" s="1"/>
      <c r="P48" s="1"/>
      <c r="Q48" s="1"/>
      <c r="R48" s="1"/>
      <c r="S48" s="1"/>
      <c r="T48" s="28">
        <v>237466</v>
      </c>
      <c r="U48" s="1" t="s">
        <v>191</v>
      </c>
    </row>
    <row r="49" spans="1:21" hidden="1" x14ac:dyDescent="0.3">
      <c r="A49" s="1">
        <v>49</v>
      </c>
      <c r="B49" s="2" t="s">
        <v>17</v>
      </c>
      <c r="C49" s="2" t="s">
        <v>17</v>
      </c>
      <c r="D49" s="1" t="s">
        <v>627</v>
      </c>
      <c r="E49" s="1" t="s">
        <v>1</v>
      </c>
      <c r="F49" s="3">
        <v>45201</v>
      </c>
      <c r="G49" s="1" t="s">
        <v>2</v>
      </c>
      <c r="H49" s="1"/>
      <c r="I49" s="1"/>
      <c r="J49" s="1"/>
      <c r="K49" s="31"/>
      <c r="L49" s="1"/>
      <c r="M49" s="1"/>
      <c r="N49" s="1"/>
      <c r="O49" s="1"/>
      <c r="P49" s="1"/>
      <c r="Q49" s="1"/>
      <c r="R49" s="1"/>
      <c r="S49" s="1"/>
      <c r="T49" s="28">
        <v>371233</v>
      </c>
      <c r="U49" s="1" t="s">
        <v>191</v>
      </c>
    </row>
    <row r="50" spans="1:21" x14ac:dyDescent="0.3">
      <c r="A50" s="1">
        <v>50</v>
      </c>
      <c r="B50" s="2" t="s">
        <v>108</v>
      </c>
      <c r="C50" s="2" t="s">
        <v>108</v>
      </c>
      <c r="D50" s="1" t="s">
        <v>647</v>
      </c>
      <c r="E50" s="1" t="s">
        <v>1</v>
      </c>
      <c r="F50" s="3">
        <v>45209</v>
      </c>
      <c r="G50" s="1" t="s">
        <v>275</v>
      </c>
      <c r="H50" s="1"/>
      <c r="I50" s="1"/>
      <c r="J50" s="1"/>
      <c r="K50" s="31"/>
      <c r="L50" s="1"/>
      <c r="M50" s="1"/>
      <c r="N50" s="1"/>
      <c r="O50" s="1"/>
      <c r="P50" s="1"/>
      <c r="Q50" s="1"/>
      <c r="R50" s="1"/>
      <c r="S50" s="1"/>
      <c r="T50" s="28">
        <v>234326</v>
      </c>
      <c r="U50" s="1" t="s">
        <v>191</v>
      </c>
    </row>
    <row r="51" spans="1:21" hidden="1" x14ac:dyDescent="0.3">
      <c r="A51" s="1">
        <v>51</v>
      </c>
      <c r="B51" s="2" t="s">
        <v>107</v>
      </c>
      <c r="C51" s="2" t="s">
        <v>107</v>
      </c>
      <c r="D51" s="1" t="s">
        <v>673</v>
      </c>
      <c r="E51" s="1" t="s">
        <v>1</v>
      </c>
      <c r="F51" s="3">
        <v>45203</v>
      </c>
      <c r="G51" s="1" t="s">
        <v>275</v>
      </c>
      <c r="H51" s="1"/>
      <c r="I51" s="1"/>
      <c r="J51" s="1"/>
      <c r="K51" s="31"/>
      <c r="L51" s="1"/>
      <c r="M51" s="1"/>
      <c r="N51" s="1"/>
      <c r="O51" s="1"/>
      <c r="P51" s="1"/>
      <c r="Q51" s="1"/>
      <c r="R51" s="1"/>
      <c r="S51" s="1"/>
      <c r="T51" s="28">
        <v>805932</v>
      </c>
      <c r="U51" s="1" t="s">
        <v>191</v>
      </c>
    </row>
    <row r="52" spans="1:21" hidden="1" x14ac:dyDescent="0.3">
      <c r="A52" s="1">
        <v>52</v>
      </c>
      <c r="B52" s="2" t="s">
        <v>30</v>
      </c>
      <c r="C52" s="2" t="s">
        <v>30</v>
      </c>
      <c r="D52" s="1" t="s">
        <v>628</v>
      </c>
      <c r="E52" s="1" t="s">
        <v>1</v>
      </c>
      <c r="F52" s="3">
        <v>45245</v>
      </c>
      <c r="G52" s="1" t="s">
        <v>2</v>
      </c>
      <c r="H52" s="1"/>
      <c r="I52" s="1"/>
      <c r="J52" s="1"/>
      <c r="K52" s="31"/>
      <c r="L52" s="1"/>
      <c r="M52" s="1"/>
      <c r="N52" s="1"/>
      <c r="O52" s="1"/>
      <c r="P52" s="1"/>
      <c r="Q52" s="1"/>
      <c r="R52" s="1"/>
      <c r="S52" s="1"/>
      <c r="T52" s="28">
        <v>7500</v>
      </c>
      <c r="U52" s="1" t="s">
        <v>233</v>
      </c>
    </row>
    <row r="53" spans="1:21" hidden="1" x14ac:dyDescent="0.3">
      <c r="A53" s="1">
        <v>53</v>
      </c>
      <c r="B53" s="2" t="s">
        <v>30</v>
      </c>
      <c r="C53" s="2" t="s">
        <v>30</v>
      </c>
      <c r="D53" s="1" t="s">
        <v>628</v>
      </c>
      <c r="E53" s="1" t="s">
        <v>1</v>
      </c>
      <c r="F53" s="3">
        <v>45245</v>
      </c>
      <c r="G53" s="1" t="s">
        <v>2</v>
      </c>
      <c r="H53" s="1"/>
      <c r="I53" s="1"/>
      <c r="J53" s="1"/>
      <c r="K53" s="31"/>
      <c r="L53" s="1"/>
      <c r="M53" s="1"/>
      <c r="N53" s="1"/>
      <c r="O53" s="1"/>
      <c r="P53" s="1"/>
      <c r="Q53" s="1"/>
      <c r="R53" s="1"/>
      <c r="S53" s="1"/>
      <c r="T53" s="28">
        <v>155000</v>
      </c>
      <c r="U53" s="1" t="s">
        <v>233</v>
      </c>
    </row>
    <row r="54" spans="1:21" hidden="1" x14ac:dyDescent="0.3">
      <c r="A54" s="1">
        <v>54</v>
      </c>
      <c r="B54" s="2" t="s">
        <v>413</v>
      </c>
      <c r="C54" s="2" t="s">
        <v>413</v>
      </c>
      <c r="D54" s="1" t="s">
        <v>629</v>
      </c>
      <c r="E54" s="1" t="s">
        <v>1</v>
      </c>
      <c r="F54" s="3">
        <v>45233</v>
      </c>
      <c r="G54" s="1" t="s">
        <v>2</v>
      </c>
      <c r="H54" s="1"/>
      <c r="I54" s="1"/>
      <c r="J54" s="1"/>
      <c r="K54" s="31"/>
      <c r="L54" s="1"/>
      <c r="M54" s="1"/>
      <c r="N54" s="1"/>
      <c r="O54" s="1"/>
      <c r="P54" s="1"/>
      <c r="Q54" s="1"/>
      <c r="R54" s="1"/>
      <c r="S54" s="1"/>
      <c r="T54" s="28">
        <v>97540</v>
      </c>
      <c r="U54" s="1" t="s">
        <v>233</v>
      </c>
    </row>
    <row r="55" spans="1:21" hidden="1" x14ac:dyDescent="0.3">
      <c r="A55" s="1">
        <v>55</v>
      </c>
      <c r="B55" s="2" t="s">
        <v>413</v>
      </c>
      <c r="C55" s="2" t="s">
        <v>413</v>
      </c>
      <c r="D55" s="1" t="s">
        <v>630</v>
      </c>
      <c r="E55" s="1" t="s">
        <v>1</v>
      </c>
      <c r="F55" s="3">
        <v>45243</v>
      </c>
      <c r="G55" s="1" t="s">
        <v>2</v>
      </c>
      <c r="H55" s="1"/>
      <c r="I55" s="1"/>
      <c r="J55" s="1"/>
      <c r="K55" s="31"/>
      <c r="L55" s="1"/>
      <c r="M55" s="1"/>
      <c r="N55" s="1"/>
      <c r="O55" s="1"/>
      <c r="P55" s="1"/>
      <c r="Q55" s="1"/>
      <c r="R55" s="1"/>
      <c r="S55" s="1"/>
      <c r="T55" s="28">
        <v>70196</v>
      </c>
      <c r="U55" s="1" t="s">
        <v>233</v>
      </c>
    </row>
    <row r="56" spans="1:21" hidden="1" x14ac:dyDescent="0.3">
      <c r="A56" s="1">
        <v>56</v>
      </c>
      <c r="B56" s="2" t="s">
        <v>413</v>
      </c>
      <c r="C56" s="2" t="s">
        <v>413</v>
      </c>
      <c r="D56" s="1" t="s">
        <v>631</v>
      </c>
      <c r="E56" s="1" t="s">
        <v>1</v>
      </c>
      <c r="F56" s="3">
        <v>45243</v>
      </c>
      <c r="G56" s="1" t="s">
        <v>2</v>
      </c>
      <c r="H56" s="1"/>
      <c r="I56" s="1"/>
      <c r="J56" s="1"/>
      <c r="K56" s="31"/>
      <c r="L56" s="1"/>
      <c r="M56" s="1"/>
      <c r="N56" s="1"/>
      <c r="O56" s="1"/>
      <c r="P56" s="1"/>
      <c r="Q56" s="1"/>
      <c r="R56" s="1"/>
      <c r="S56" s="1"/>
      <c r="T56" s="28">
        <v>345670</v>
      </c>
      <c r="U56" s="1" t="s">
        <v>233</v>
      </c>
    </row>
    <row r="57" spans="1:21" ht="28.8" hidden="1" x14ac:dyDescent="0.3">
      <c r="A57" s="1">
        <v>57</v>
      </c>
      <c r="B57" s="2" t="s">
        <v>17</v>
      </c>
      <c r="C57" s="2" t="s">
        <v>17</v>
      </c>
      <c r="D57" s="2" t="s">
        <v>674</v>
      </c>
      <c r="E57" s="1" t="s">
        <v>1</v>
      </c>
      <c r="F57" s="3">
        <v>45254</v>
      </c>
      <c r="G57" s="1" t="s">
        <v>98</v>
      </c>
      <c r="H57" s="1"/>
      <c r="I57" s="1"/>
      <c r="J57" s="1"/>
      <c r="K57" s="31"/>
      <c r="L57" s="1"/>
      <c r="M57" s="1"/>
      <c r="N57" s="1"/>
      <c r="O57" s="1"/>
      <c r="P57" s="1"/>
      <c r="Q57" s="1"/>
      <c r="R57" s="1"/>
      <c r="S57" s="1"/>
      <c r="T57" s="28">
        <v>532450</v>
      </c>
      <c r="U57" s="1" t="s">
        <v>233</v>
      </c>
    </row>
    <row r="58" spans="1:21" hidden="1" x14ac:dyDescent="0.3">
      <c r="A58" s="1">
        <v>58</v>
      </c>
      <c r="B58" s="2" t="s">
        <v>413</v>
      </c>
      <c r="C58" s="2" t="s">
        <v>413</v>
      </c>
      <c r="D58" s="2" t="s">
        <v>632</v>
      </c>
      <c r="E58" s="1" t="s">
        <v>1</v>
      </c>
      <c r="F58" s="3">
        <v>45261</v>
      </c>
      <c r="G58" s="1" t="s">
        <v>2</v>
      </c>
      <c r="H58" s="1"/>
      <c r="I58" s="1"/>
      <c r="J58" s="1"/>
      <c r="K58" s="31"/>
      <c r="L58" s="1"/>
      <c r="M58" s="1"/>
      <c r="N58" s="1"/>
      <c r="O58" s="1"/>
      <c r="P58" s="1"/>
      <c r="Q58" s="1"/>
      <c r="R58" s="1"/>
      <c r="S58" s="1"/>
      <c r="T58" s="28">
        <v>222370</v>
      </c>
      <c r="U58" s="1" t="s">
        <v>272</v>
      </c>
    </row>
    <row r="59" spans="1:21" ht="28.8" hidden="1" x14ac:dyDescent="0.3">
      <c r="A59" s="1">
        <v>59</v>
      </c>
      <c r="B59" s="2" t="s">
        <v>413</v>
      </c>
      <c r="C59" s="2" t="s">
        <v>413</v>
      </c>
      <c r="D59" s="2" t="s">
        <v>633</v>
      </c>
      <c r="E59" s="1" t="s">
        <v>1</v>
      </c>
      <c r="F59" s="3">
        <v>45261</v>
      </c>
      <c r="G59" s="1" t="s">
        <v>2</v>
      </c>
      <c r="H59" s="1"/>
      <c r="I59" s="1"/>
      <c r="J59" s="1"/>
      <c r="K59" s="31"/>
      <c r="L59" s="1"/>
      <c r="M59" s="1"/>
      <c r="N59" s="1"/>
      <c r="O59" s="1"/>
      <c r="P59" s="1"/>
      <c r="Q59" s="1"/>
      <c r="R59" s="1"/>
      <c r="S59" s="1"/>
      <c r="T59" s="28">
        <v>85225</v>
      </c>
      <c r="U59" s="1" t="s">
        <v>272</v>
      </c>
    </row>
    <row r="60" spans="1:21" ht="28.8" hidden="1" x14ac:dyDescent="0.3">
      <c r="A60" s="1">
        <v>60</v>
      </c>
      <c r="B60" s="2" t="s">
        <v>339</v>
      </c>
      <c r="C60" s="2" t="s">
        <v>117</v>
      </c>
      <c r="D60" s="1" t="s">
        <v>634</v>
      </c>
      <c r="E60" s="1" t="s">
        <v>1</v>
      </c>
      <c r="F60" s="3">
        <v>45264</v>
      </c>
      <c r="G60" s="1" t="s">
        <v>2</v>
      </c>
      <c r="H60" s="1"/>
      <c r="I60" s="1"/>
      <c r="J60" s="1"/>
      <c r="K60" s="31"/>
      <c r="L60" s="1"/>
      <c r="M60" s="1"/>
      <c r="N60" s="1"/>
      <c r="O60" s="1"/>
      <c r="P60" s="1"/>
      <c r="Q60" s="1"/>
      <c r="R60" s="1"/>
      <c r="S60" s="1"/>
      <c r="T60" s="28">
        <v>42646</v>
      </c>
      <c r="U60" s="1" t="s">
        <v>272</v>
      </c>
    </row>
    <row r="61" spans="1:21" hidden="1" x14ac:dyDescent="0.3">
      <c r="A61" s="1">
        <v>61</v>
      </c>
      <c r="B61" s="2" t="s">
        <v>413</v>
      </c>
      <c r="C61" s="2" t="s">
        <v>413</v>
      </c>
      <c r="D61" s="1" t="s">
        <v>635</v>
      </c>
      <c r="E61" s="1" t="s">
        <v>636</v>
      </c>
      <c r="F61" s="3">
        <v>45275</v>
      </c>
      <c r="G61" s="1" t="s">
        <v>2</v>
      </c>
      <c r="H61" s="1"/>
      <c r="I61" s="1"/>
      <c r="J61" s="1"/>
      <c r="K61" s="31"/>
      <c r="L61" s="1"/>
      <c r="M61" s="1"/>
      <c r="N61" s="1"/>
      <c r="O61" s="1"/>
      <c r="P61" s="1"/>
      <c r="Q61" s="1"/>
      <c r="R61" s="1"/>
      <c r="S61" s="1"/>
      <c r="T61" s="28">
        <v>193500</v>
      </c>
      <c r="U61" s="1" t="s">
        <v>272</v>
      </c>
    </row>
    <row r="62" spans="1:21" hidden="1" x14ac:dyDescent="0.3">
      <c r="A62" s="37"/>
      <c r="B62" s="37"/>
      <c r="C62" s="37"/>
      <c r="D62" s="37"/>
      <c r="E62" s="37"/>
      <c r="F62" s="37"/>
      <c r="G62" s="37"/>
      <c r="H62" s="38">
        <v>18836</v>
      </c>
      <c r="I62" s="38">
        <v>8822</v>
      </c>
      <c r="J62" s="37" t="s">
        <v>675</v>
      </c>
      <c r="K62" s="37" t="s">
        <v>675</v>
      </c>
      <c r="L62" s="37" t="s">
        <v>675</v>
      </c>
      <c r="M62" s="38">
        <v>39589</v>
      </c>
      <c r="N62" s="38">
        <v>2117304</v>
      </c>
      <c r="O62" s="37" t="s">
        <v>675</v>
      </c>
      <c r="P62" s="38">
        <v>8801</v>
      </c>
      <c r="Q62" s="37" t="s">
        <v>675</v>
      </c>
      <c r="R62" s="37" t="s">
        <v>675</v>
      </c>
      <c r="S62" s="38">
        <v>18968</v>
      </c>
      <c r="T62" s="38">
        <v>12640190</v>
      </c>
      <c r="U62" s="37"/>
    </row>
    <row r="63" spans="1:21" ht="20.399999999999999" hidden="1" x14ac:dyDescent="0.3">
      <c r="A63" s="32"/>
      <c r="B63" s="32"/>
      <c r="C63" s="32"/>
      <c r="D63" s="32"/>
      <c r="E63" s="32"/>
      <c r="F63" s="32"/>
      <c r="G63" s="32"/>
      <c r="H63" s="32"/>
      <c r="I63" s="32"/>
      <c r="J63" s="32"/>
      <c r="K63" s="32"/>
      <c r="L63" s="32"/>
      <c r="M63" s="32"/>
      <c r="N63" s="32"/>
      <c r="O63" s="32"/>
      <c r="P63" s="32"/>
      <c r="Q63" s="32"/>
      <c r="R63" s="32"/>
      <c r="S63" s="32"/>
      <c r="T63" s="32"/>
      <c r="U63" s="32"/>
    </row>
    <row r="64" spans="1:21" ht="20.399999999999999" hidden="1" x14ac:dyDescent="0.3">
      <c r="A64" s="32"/>
      <c r="B64" s="32"/>
      <c r="C64" s="32"/>
      <c r="D64" s="32"/>
      <c r="E64" s="32"/>
      <c r="F64" s="32"/>
      <c r="G64" s="32"/>
      <c r="H64" s="32"/>
      <c r="I64" s="32"/>
      <c r="J64" s="32"/>
      <c r="K64" s="32"/>
      <c r="L64" s="32"/>
      <c r="M64" s="32"/>
      <c r="N64" s="32"/>
      <c r="O64" s="32"/>
      <c r="P64" s="32"/>
      <c r="Q64" s="32"/>
      <c r="R64" s="32"/>
      <c r="S64" s="32"/>
      <c r="T64" s="32"/>
      <c r="U64" s="32"/>
    </row>
    <row r="65" spans="1:21" ht="20.399999999999999" hidden="1" x14ac:dyDescent="0.3">
      <c r="A65" s="32"/>
      <c r="B65" s="32"/>
      <c r="C65" s="32"/>
      <c r="D65" s="32"/>
      <c r="E65" s="32"/>
      <c r="F65" s="32"/>
      <c r="G65" s="32"/>
      <c r="H65" s="32"/>
      <c r="I65" s="32"/>
      <c r="J65" s="32"/>
      <c r="K65" s="32"/>
      <c r="L65" s="32"/>
      <c r="M65" s="32"/>
      <c r="N65" s="32"/>
      <c r="O65" s="32"/>
      <c r="P65" s="32"/>
      <c r="Q65" s="32"/>
      <c r="R65" s="32"/>
      <c r="S65" s="32"/>
      <c r="T65" s="32"/>
      <c r="U65" s="32"/>
    </row>
    <row r="66" spans="1:21" ht="20.399999999999999" hidden="1" x14ac:dyDescent="0.3">
      <c r="A66" s="32"/>
      <c r="B66" s="32"/>
      <c r="C66" s="32"/>
      <c r="D66" s="32"/>
      <c r="E66" s="32"/>
      <c r="F66" s="32"/>
      <c r="G66" s="32"/>
      <c r="H66" s="32"/>
      <c r="I66" s="32"/>
      <c r="J66" s="32"/>
      <c r="K66" s="32"/>
      <c r="L66" s="32"/>
      <c r="M66" s="32"/>
      <c r="N66" s="32"/>
      <c r="O66" s="32"/>
      <c r="P66" s="32"/>
      <c r="Q66" s="32"/>
      <c r="R66" s="32"/>
      <c r="S66" s="32"/>
      <c r="T66" s="32"/>
      <c r="U66" s="32"/>
    </row>
    <row r="67" spans="1:21" ht="20.399999999999999" hidden="1" x14ac:dyDescent="0.3">
      <c r="A67" s="32"/>
      <c r="B67" s="32"/>
      <c r="C67" s="32"/>
      <c r="D67" s="32"/>
      <c r="E67" s="32"/>
      <c r="F67" s="32"/>
      <c r="G67" s="32"/>
      <c r="H67" s="32"/>
      <c r="I67" s="32"/>
      <c r="J67" s="32"/>
      <c r="K67" s="32"/>
      <c r="L67" s="32"/>
      <c r="M67" s="32"/>
      <c r="N67" s="32"/>
      <c r="O67" s="32"/>
      <c r="P67" s="32"/>
      <c r="Q67" s="32"/>
      <c r="R67" s="32"/>
      <c r="S67" s="32"/>
      <c r="T67" s="32"/>
      <c r="U67" s="32"/>
    </row>
    <row r="68" spans="1:21" ht="20.399999999999999" hidden="1" x14ac:dyDescent="0.3">
      <c r="A68" s="32"/>
      <c r="B68" s="32"/>
      <c r="C68" s="32"/>
      <c r="D68" s="32"/>
      <c r="E68" s="32"/>
      <c r="F68" s="32"/>
      <c r="G68" s="32"/>
      <c r="H68" s="32"/>
      <c r="I68" s="32"/>
      <c r="J68" s="32"/>
      <c r="K68" s="32"/>
      <c r="L68" s="32"/>
      <c r="M68" s="32"/>
      <c r="N68" s="32"/>
      <c r="O68" s="32"/>
      <c r="P68" s="32"/>
      <c r="Q68" s="32"/>
      <c r="R68" s="32"/>
      <c r="S68" s="32"/>
      <c r="T68" s="32"/>
      <c r="U68" s="32"/>
    </row>
    <row r="69" spans="1:21" ht="20.399999999999999" hidden="1" x14ac:dyDescent="0.3">
      <c r="A69" s="32"/>
      <c r="B69" s="32"/>
      <c r="C69" s="32"/>
      <c r="D69" s="32"/>
      <c r="E69" s="32"/>
      <c r="F69" s="32"/>
      <c r="G69" s="32"/>
      <c r="H69" s="32"/>
      <c r="I69" s="32"/>
      <c r="J69" s="32"/>
      <c r="K69" s="32"/>
      <c r="L69" s="32"/>
      <c r="M69" s="32"/>
      <c r="N69" s="32"/>
      <c r="O69" s="32"/>
      <c r="P69" s="32"/>
      <c r="Q69" s="32"/>
      <c r="R69" s="32"/>
      <c r="S69" s="32"/>
      <c r="T69" s="32"/>
      <c r="U69" s="32"/>
    </row>
    <row r="70" spans="1:21" ht="20.399999999999999" hidden="1" x14ac:dyDescent="0.3">
      <c r="A70" s="32"/>
      <c r="B70" s="32"/>
      <c r="C70" s="32"/>
      <c r="D70" s="32"/>
      <c r="E70" s="32"/>
      <c r="F70" s="32"/>
      <c r="G70" s="32"/>
      <c r="H70" s="32"/>
      <c r="I70" s="32"/>
      <c r="J70" s="32"/>
      <c r="K70" s="32"/>
      <c r="L70" s="32"/>
      <c r="M70" s="32"/>
      <c r="N70" s="32"/>
      <c r="O70" s="32"/>
      <c r="P70" s="32"/>
      <c r="Q70" s="32"/>
      <c r="R70" s="32"/>
      <c r="S70" s="32"/>
      <c r="T70" s="32"/>
      <c r="U70" s="32"/>
    </row>
    <row r="71" spans="1:21" ht="20.399999999999999" hidden="1" x14ac:dyDescent="0.3">
      <c r="A71" s="32"/>
      <c r="B71" s="32"/>
      <c r="C71" s="32"/>
      <c r="D71" s="32"/>
      <c r="E71" s="32"/>
      <c r="F71" s="32"/>
      <c r="G71" s="32"/>
      <c r="H71" s="32"/>
      <c r="I71" s="32"/>
      <c r="J71" s="32"/>
      <c r="K71" s="32"/>
      <c r="L71" s="32"/>
      <c r="M71" s="32"/>
      <c r="N71" s="32"/>
      <c r="O71" s="32"/>
      <c r="P71" s="32"/>
      <c r="Q71" s="32"/>
      <c r="R71" s="32"/>
      <c r="S71" s="32"/>
      <c r="T71" s="32"/>
      <c r="U71" s="32"/>
    </row>
    <row r="72" spans="1:21" ht="20.399999999999999" hidden="1" x14ac:dyDescent="0.3">
      <c r="A72" s="32"/>
      <c r="B72" s="32"/>
      <c r="C72" s="32"/>
      <c r="D72" s="32"/>
      <c r="E72" s="32"/>
      <c r="F72" s="32"/>
      <c r="G72" s="32"/>
      <c r="H72" s="32"/>
      <c r="I72" s="32"/>
      <c r="J72" s="32"/>
      <c r="K72" s="32"/>
      <c r="L72" s="32"/>
      <c r="M72" s="32"/>
      <c r="N72" s="32"/>
      <c r="O72" s="32"/>
      <c r="P72" s="32"/>
      <c r="Q72" s="32"/>
      <c r="R72" s="32"/>
      <c r="S72" s="32"/>
      <c r="T72" s="32"/>
      <c r="U72" s="32"/>
    </row>
    <row r="73" spans="1:21" ht="20.399999999999999" hidden="1" x14ac:dyDescent="0.3">
      <c r="A73" s="32"/>
      <c r="B73" s="32"/>
      <c r="C73" s="32"/>
      <c r="D73" s="32"/>
      <c r="E73" s="32"/>
      <c r="F73" s="32"/>
      <c r="G73" s="32"/>
      <c r="H73" s="32"/>
      <c r="I73" s="32"/>
      <c r="J73" s="32"/>
      <c r="K73" s="32"/>
      <c r="L73" s="32"/>
      <c r="M73" s="32"/>
      <c r="N73" s="32"/>
      <c r="O73" s="32"/>
      <c r="P73" s="32"/>
      <c r="Q73" s="32"/>
      <c r="R73" s="32"/>
      <c r="S73" s="32"/>
      <c r="T73" s="32"/>
      <c r="U73" s="32"/>
    </row>
    <row r="74" spans="1:21" ht="20.399999999999999" hidden="1" x14ac:dyDescent="0.3">
      <c r="A74" s="32"/>
      <c r="B74" s="32"/>
      <c r="C74" s="32"/>
      <c r="D74" s="32"/>
      <c r="E74" s="32"/>
      <c r="F74" s="32"/>
      <c r="G74" s="32"/>
      <c r="H74" s="32"/>
      <c r="I74" s="32"/>
      <c r="J74" s="32"/>
      <c r="K74" s="32"/>
      <c r="L74" s="32"/>
      <c r="M74" s="32"/>
      <c r="N74" s="32"/>
      <c r="O74" s="32"/>
      <c r="P74" s="32"/>
      <c r="Q74" s="32"/>
      <c r="R74" s="32"/>
      <c r="S74" s="32"/>
      <c r="T74" s="32"/>
      <c r="U74" s="32"/>
    </row>
    <row r="75" spans="1:21" ht="20.399999999999999" hidden="1" x14ac:dyDescent="0.3">
      <c r="A75" s="32"/>
      <c r="B75" s="32"/>
      <c r="C75" s="32"/>
      <c r="D75" s="32"/>
      <c r="E75" s="32"/>
      <c r="F75" s="32"/>
      <c r="G75" s="32"/>
      <c r="H75" s="32"/>
      <c r="I75" s="32"/>
      <c r="J75" s="32"/>
      <c r="K75" s="32"/>
      <c r="L75" s="32"/>
      <c r="M75" s="32"/>
      <c r="N75" s="32"/>
      <c r="O75" s="32"/>
      <c r="P75" s="32"/>
      <c r="Q75" s="32"/>
      <c r="R75" s="32"/>
      <c r="S75" s="32"/>
      <c r="T75" s="32"/>
      <c r="U75" s="32"/>
    </row>
    <row r="76" spans="1:21" ht="20.399999999999999" hidden="1" x14ac:dyDescent="0.3">
      <c r="A76" s="32"/>
      <c r="B76" s="32"/>
      <c r="C76" s="32"/>
      <c r="D76" s="32"/>
      <c r="E76" s="32"/>
      <c r="F76" s="32"/>
      <c r="G76" s="32"/>
      <c r="H76" s="32"/>
      <c r="I76" s="32"/>
      <c r="J76" s="32"/>
      <c r="K76" s="32"/>
      <c r="L76" s="32"/>
      <c r="M76" s="32"/>
      <c r="N76" s="32"/>
      <c r="O76" s="32"/>
      <c r="P76" s="32"/>
      <c r="Q76" s="32"/>
      <c r="R76" s="32"/>
      <c r="S76" s="32"/>
      <c r="T76" s="32"/>
      <c r="U76" s="32"/>
    </row>
    <row r="77" spans="1:21" ht="20.399999999999999" hidden="1" x14ac:dyDescent="0.3">
      <c r="A77" s="32"/>
      <c r="B77" s="32"/>
      <c r="C77" s="32"/>
      <c r="D77" s="32"/>
      <c r="E77" s="32"/>
      <c r="F77" s="32"/>
      <c r="G77" s="32"/>
      <c r="H77" s="32"/>
      <c r="I77" s="32"/>
      <c r="J77" s="32"/>
      <c r="K77" s="32"/>
      <c r="L77" s="32"/>
      <c r="M77" s="32"/>
      <c r="N77" s="32"/>
      <c r="O77" s="32"/>
      <c r="P77" s="32"/>
      <c r="Q77" s="32"/>
      <c r="R77" s="32"/>
      <c r="S77" s="32"/>
      <c r="T77" s="32"/>
      <c r="U77" s="32"/>
    </row>
    <row r="78" spans="1:21" ht="20.399999999999999" hidden="1" x14ac:dyDescent="0.3">
      <c r="A78" s="32"/>
      <c r="B78" s="32"/>
      <c r="C78" s="32"/>
      <c r="D78" s="32"/>
      <c r="E78" s="32"/>
      <c r="F78" s="32"/>
      <c r="G78" s="32"/>
      <c r="H78" s="32"/>
      <c r="I78" s="32"/>
      <c r="J78" s="32"/>
      <c r="K78" s="32"/>
      <c r="L78" s="32"/>
      <c r="M78" s="32"/>
      <c r="N78" s="32"/>
      <c r="O78" s="32"/>
      <c r="P78" s="32"/>
      <c r="Q78" s="32"/>
      <c r="R78" s="32"/>
      <c r="S78" s="32"/>
      <c r="T78" s="32"/>
      <c r="U78" s="32"/>
    </row>
    <row r="79" spans="1:21" ht="20.399999999999999" hidden="1" x14ac:dyDescent="0.3">
      <c r="A79" s="32"/>
      <c r="B79" s="32"/>
      <c r="C79" s="32"/>
      <c r="D79" s="32"/>
      <c r="E79" s="32"/>
      <c r="F79" s="32"/>
      <c r="G79" s="32"/>
      <c r="H79" s="32"/>
      <c r="I79" s="32"/>
      <c r="J79" s="32"/>
      <c r="K79" s="32"/>
      <c r="L79" s="32"/>
      <c r="M79" s="32"/>
      <c r="N79" s="32"/>
      <c r="O79" s="32"/>
      <c r="P79" s="32"/>
      <c r="Q79" s="32"/>
      <c r="R79" s="32"/>
      <c r="S79" s="32"/>
      <c r="T79" s="32"/>
      <c r="U79" s="32"/>
    </row>
    <row r="80" spans="1:21" ht="20.399999999999999" hidden="1" x14ac:dyDescent="0.3">
      <c r="A80" s="32"/>
      <c r="B80" s="32"/>
      <c r="C80" s="32"/>
      <c r="D80" s="32"/>
      <c r="E80" s="32"/>
      <c r="F80" s="32"/>
      <c r="G80" s="32"/>
      <c r="H80" s="32"/>
      <c r="I80" s="32"/>
      <c r="J80" s="32"/>
      <c r="K80" s="32"/>
      <c r="L80" s="32"/>
      <c r="M80" s="32"/>
      <c r="N80" s="32"/>
      <c r="O80" s="32"/>
      <c r="P80" s="32"/>
      <c r="Q80" s="32"/>
      <c r="R80" s="32"/>
      <c r="S80" s="32"/>
      <c r="T80" s="32"/>
      <c r="U80" s="32"/>
    </row>
    <row r="81" spans="1:21" ht="20.399999999999999" hidden="1" x14ac:dyDescent="0.3">
      <c r="A81" s="32"/>
      <c r="B81" s="32"/>
      <c r="C81" s="32"/>
      <c r="D81" s="32"/>
      <c r="E81" s="32"/>
      <c r="F81" s="32"/>
      <c r="G81" s="32"/>
      <c r="H81" s="32"/>
      <c r="I81" s="32"/>
      <c r="J81" s="32"/>
      <c r="K81" s="32"/>
      <c r="L81" s="32"/>
      <c r="M81" s="32"/>
      <c r="N81" s="32"/>
      <c r="O81" s="32"/>
      <c r="P81" s="32"/>
      <c r="Q81" s="32"/>
      <c r="R81" s="32"/>
      <c r="S81" s="32"/>
      <c r="T81" s="32"/>
      <c r="U81" s="32"/>
    </row>
    <row r="82" spans="1:21" ht="20.399999999999999" hidden="1" x14ac:dyDescent="0.3">
      <c r="A82" s="32"/>
      <c r="B82" s="32"/>
      <c r="C82" s="32"/>
      <c r="D82" s="32"/>
      <c r="E82" s="32"/>
      <c r="F82" s="32"/>
      <c r="G82" s="32"/>
      <c r="H82" s="32"/>
      <c r="I82" s="32"/>
      <c r="J82" s="32"/>
      <c r="K82" s="32"/>
      <c r="L82" s="32"/>
      <c r="M82" s="32"/>
      <c r="N82" s="32"/>
      <c r="O82" s="32"/>
      <c r="P82" s="32"/>
      <c r="Q82" s="32"/>
      <c r="R82" s="32"/>
      <c r="S82" s="32"/>
      <c r="T82" s="32"/>
      <c r="U82" s="32"/>
    </row>
    <row r="83" spans="1:21" ht="20.399999999999999" hidden="1" x14ac:dyDescent="0.3">
      <c r="A83" s="32"/>
      <c r="B83" s="32"/>
      <c r="C83" s="32"/>
      <c r="D83" s="32"/>
      <c r="E83" s="32"/>
      <c r="F83" s="32"/>
      <c r="G83" s="32"/>
      <c r="H83" s="32"/>
      <c r="I83" s="32"/>
      <c r="J83" s="32"/>
      <c r="K83" s="32"/>
      <c r="L83" s="32"/>
      <c r="M83" s="32"/>
      <c r="N83" s="32"/>
      <c r="O83" s="32"/>
      <c r="P83" s="32"/>
      <c r="Q83" s="32"/>
      <c r="R83" s="32"/>
      <c r="S83" s="32"/>
      <c r="T83" s="32"/>
      <c r="U83" s="32"/>
    </row>
    <row r="84" spans="1:21" ht="20.399999999999999" hidden="1" x14ac:dyDescent="0.3">
      <c r="A84" s="32"/>
      <c r="B84" s="32"/>
      <c r="C84" s="32"/>
      <c r="D84" s="32"/>
      <c r="E84" s="32"/>
      <c r="F84" s="32"/>
      <c r="G84" s="32"/>
      <c r="H84" s="32"/>
      <c r="I84" s="32"/>
      <c r="J84" s="32"/>
      <c r="K84" s="32"/>
      <c r="L84" s="32"/>
      <c r="M84" s="32"/>
      <c r="N84" s="32"/>
      <c r="O84" s="32"/>
      <c r="P84" s="32"/>
      <c r="Q84" s="32"/>
      <c r="R84" s="32"/>
      <c r="S84" s="32"/>
      <c r="T84" s="32"/>
      <c r="U84" s="32"/>
    </row>
    <row r="85" spans="1:21" ht="20.399999999999999" hidden="1" x14ac:dyDescent="0.3">
      <c r="A85" s="32"/>
      <c r="B85" s="32"/>
      <c r="C85" s="32"/>
      <c r="D85" s="32"/>
      <c r="E85" s="32"/>
      <c r="F85" s="32"/>
      <c r="G85" s="32"/>
      <c r="H85" s="32"/>
      <c r="I85" s="32"/>
      <c r="J85" s="32"/>
      <c r="K85" s="32"/>
      <c r="L85" s="32"/>
      <c r="M85" s="32"/>
      <c r="N85" s="32"/>
      <c r="O85" s="32"/>
      <c r="P85" s="32"/>
      <c r="Q85" s="32"/>
      <c r="R85" s="32"/>
      <c r="S85" s="32"/>
      <c r="T85" s="32"/>
      <c r="U85" s="32"/>
    </row>
    <row r="86" spans="1:21" ht="20.399999999999999" hidden="1" x14ac:dyDescent="0.3">
      <c r="A86" s="32"/>
      <c r="B86" s="32"/>
      <c r="C86" s="32"/>
      <c r="D86" s="32"/>
      <c r="E86" s="32"/>
      <c r="F86" s="32"/>
      <c r="G86" s="32"/>
      <c r="H86" s="32"/>
      <c r="I86" s="32"/>
      <c r="J86" s="32"/>
      <c r="K86" s="32"/>
      <c r="L86" s="32"/>
      <c r="M86" s="32"/>
      <c r="N86" s="32"/>
      <c r="O86" s="32"/>
      <c r="P86" s="32"/>
      <c r="Q86" s="32"/>
      <c r="R86" s="32"/>
      <c r="S86" s="32"/>
      <c r="T86" s="32"/>
      <c r="U86" s="32"/>
    </row>
    <row r="87" spans="1:21" ht="20.399999999999999" hidden="1" x14ac:dyDescent="0.3">
      <c r="A87" s="32"/>
      <c r="B87" s="32"/>
      <c r="C87" s="32"/>
      <c r="D87" s="32"/>
      <c r="E87" s="32"/>
      <c r="F87" s="32"/>
      <c r="G87" s="32"/>
      <c r="H87" s="32"/>
      <c r="I87" s="32"/>
      <c r="J87" s="32"/>
      <c r="K87" s="32"/>
      <c r="L87" s="32"/>
      <c r="M87" s="32"/>
      <c r="N87" s="32"/>
      <c r="O87" s="32"/>
      <c r="P87" s="32"/>
      <c r="Q87" s="32"/>
      <c r="R87" s="32"/>
      <c r="S87" s="32"/>
      <c r="T87" s="32"/>
      <c r="U87" s="32"/>
    </row>
    <row r="88" spans="1:21" ht="20.399999999999999" hidden="1" x14ac:dyDescent="0.3">
      <c r="A88" s="32"/>
      <c r="B88" s="32"/>
      <c r="C88" s="32"/>
      <c r="D88" s="32"/>
      <c r="E88" s="32"/>
      <c r="F88" s="32"/>
      <c r="G88" s="32"/>
      <c r="H88" s="32"/>
      <c r="I88" s="32"/>
      <c r="J88" s="32"/>
      <c r="K88" s="32"/>
      <c r="L88" s="32"/>
      <c r="M88" s="32"/>
      <c r="N88" s="32"/>
      <c r="O88" s="32"/>
      <c r="P88" s="32"/>
      <c r="Q88" s="32"/>
      <c r="R88" s="32"/>
      <c r="S88" s="32"/>
      <c r="T88" s="32"/>
      <c r="U88" s="32"/>
    </row>
    <row r="89" spans="1:21" ht="20.399999999999999" hidden="1" x14ac:dyDescent="0.3">
      <c r="A89" s="32"/>
      <c r="B89" s="32"/>
      <c r="C89" s="32"/>
      <c r="D89" s="32"/>
      <c r="E89" s="32"/>
      <c r="F89" s="32"/>
      <c r="G89" s="32"/>
      <c r="H89" s="32"/>
      <c r="I89" s="32"/>
      <c r="J89" s="32"/>
      <c r="K89" s="32"/>
      <c r="L89" s="32"/>
      <c r="M89" s="32"/>
      <c r="N89" s="32"/>
      <c r="O89" s="32"/>
      <c r="P89" s="32"/>
      <c r="Q89" s="32"/>
      <c r="R89" s="32"/>
      <c r="S89" s="32"/>
      <c r="T89" s="32"/>
      <c r="U89" s="32"/>
    </row>
    <row r="90" spans="1:21" ht="20.399999999999999" hidden="1" x14ac:dyDescent="0.3">
      <c r="A90" s="32"/>
      <c r="B90" s="32"/>
      <c r="C90" s="32"/>
      <c r="D90" s="32"/>
      <c r="E90" s="32"/>
      <c r="F90" s="32"/>
      <c r="G90" s="32"/>
      <c r="H90" s="32"/>
      <c r="I90" s="32"/>
      <c r="J90" s="32"/>
      <c r="K90" s="32"/>
      <c r="L90" s="32"/>
      <c r="M90" s="32"/>
      <c r="N90" s="32"/>
      <c r="O90" s="32"/>
      <c r="P90" s="32"/>
      <c r="Q90" s="32"/>
      <c r="R90" s="32"/>
      <c r="S90" s="32"/>
      <c r="T90" s="32"/>
      <c r="U90" s="32"/>
    </row>
    <row r="91" spans="1:21" ht="20.399999999999999" hidden="1" x14ac:dyDescent="0.3">
      <c r="A91" s="32"/>
      <c r="B91" s="32"/>
      <c r="C91" s="32"/>
      <c r="D91" s="32"/>
      <c r="E91" s="32"/>
      <c r="F91" s="32"/>
      <c r="G91" s="32"/>
      <c r="H91" s="32"/>
      <c r="I91" s="32"/>
      <c r="J91" s="32"/>
      <c r="K91" s="32"/>
      <c r="L91" s="32"/>
      <c r="M91" s="32"/>
      <c r="N91" s="32"/>
      <c r="O91" s="32"/>
      <c r="P91" s="32"/>
      <c r="Q91" s="32"/>
      <c r="R91" s="32"/>
      <c r="S91" s="32"/>
      <c r="T91" s="32"/>
      <c r="U91" s="32"/>
    </row>
    <row r="92" spans="1:21" ht="20.399999999999999" hidden="1" x14ac:dyDescent="0.3">
      <c r="A92" s="32"/>
      <c r="B92" s="32"/>
      <c r="C92" s="32"/>
      <c r="D92" s="32"/>
      <c r="E92" s="32"/>
      <c r="F92" s="32"/>
      <c r="G92" s="32"/>
      <c r="H92" s="32"/>
      <c r="I92" s="32"/>
      <c r="J92" s="32"/>
      <c r="K92" s="32"/>
      <c r="L92" s="32"/>
      <c r="M92" s="32"/>
      <c r="N92" s="32"/>
      <c r="O92" s="32"/>
      <c r="P92" s="32"/>
      <c r="Q92" s="32"/>
      <c r="R92" s="32"/>
      <c r="S92" s="32"/>
      <c r="T92" s="32"/>
      <c r="U92" s="32"/>
    </row>
    <row r="93" spans="1:21" ht="20.399999999999999" hidden="1" x14ac:dyDescent="0.3">
      <c r="A93" s="32"/>
      <c r="B93" s="32"/>
      <c r="C93" s="32"/>
      <c r="D93" s="32"/>
      <c r="E93" s="32"/>
      <c r="F93" s="32"/>
      <c r="G93" s="32"/>
      <c r="H93" s="32"/>
      <c r="I93" s="32"/>
      <c r="J93" s="32"/>
      <c r="K93" s="32"/>
      <c r="L93" s="32"/>
      <c r="M93" s="32"/>
      <c r="N93" s="32"/>
      <c r="O93" s="32"/>
      <c r="P93" s="32"/>
      <c r="Q93" s="32"/>
      <c r="R93" s="32"/>
      <c r="S93" s="32"/>
      <c r="T93" s="32"/>
      <c r="U93" s="32"/>
    </row>
    <row r="94" spans="1:21" ht="20.399999999999999" hidden="1" x14ac:dyDescent="0.3">
      <c r="A94" s="32"/>
      <c r="B94" s="32"/>
      <c r="C94" s="32"/>
      <c r="D94" s="32"/>
      <c r="E94" s="32"/>
      <c r="F94" s="32"/>
      <c r="G94" s="32"/>
      <c r="H94" s="32"/>
      <c r="I94" s="32"/>
      <c r="J94" s="32"/>
      <c r="K94" s="32"/>
      <c r="L94" s="32"/>
      <c r="M94" s="32"/>
      <c r="N94" s="32"/>
      <c r="O94" s="32"/>
      <c r="P94" s="32"/>
      <c r="Q94" s="32"/>
      <c r="R94" s="32"/>
      <c r="S94" s="32"/>
      <c r="T94" s="32"/>
      <c r="U94" s="32"/>
    </row>
    <row r="95" spans="1:21" ht="20.399999999999999" hidden="1" x14ac:dyDescent="0.3">
      <c r="A95" s="32"/>
      <c r="B95" s="32"/>
      <c r="C95" s="32"/>
      <c r="D95" s="32"/>
      <c r="E95" s="32"/>
      <c r="F95" s="32"/>
      <c r="G95" s="32"/>
      <c r="H95" s="32"/>
      <c r="I95" s="32"/>
      <c r="J95" s="32"/>
      <c r="K95" s="32"/>
      <c r="L95" s="32"/>
      <c r="M95" s="32"/>
      <c r="N95" s="32"/>
      <c r="O95" s="32"/>
      <c r="P95" s="32"/>
      <c r="Q95" s="32"/>
      <c r="R95" s="32"/>
      <c r="S95" s="32"/>
      <c r="T95" s="32"/>
      <c r="U95" s="32"/>
    </row>
    <row r="96" spans="1:21" ht="20.399999999999999" hidden="1" x14ac:dyDescent="0.3">
      <c r="A96" s="32"/>
      <c r="B96" s="32"/>
      <c r="C96" s="32"/>
      <c r="D96" s="32"/>
      <c r="E96" s="32"/>
      <c r="F96" s="32"/>
      <c r="G96" s="32"/>
      <c r="H96" s="32"/>
      <c r="I96" s="32"/>
      <c r="J96" s="32"/>
      <c r="K96" s="32"/>
      <c r="L96" s="32"/>
      <c r="M96" s="32"/>
      <c r="N96" s="32"/>
      <c r="O96" s="32"/>
      <c r="P96" s="32"/>
      <c r="Q96" s="32"/>
      <c r="R96" s="32"/>
      <c r="S96" s="32"/>
      <c r="T96" s="32"/>
      <c r="U96" s="32"/>
    </row>
    <row r="97" spans="1:21" ht="20.399999999999999" hidden="1" x14ac:dyDescent="0.3">
      <c r="A97" s="32"/>
      <c r="B97" s="32"/>
      <c r="C97" s="32"/>
      <c r="D97" s="32"/>
      <c r="E97" s="32"/>
      <c r="F97" s="32"/>
      <c r="G97" s="32"/>
      <c r="H97" s="32"/>
      <c r="I97" s="32"/>
      <c r="J97" s="32"/>
      <c r="K97" s="32"/>
      <c r="L97" s="32"/>
      <c r="M97" s="32"/>
      <c r="N97" s="32"/>
      <c r="O97" s="32"/>
      <c r="P97" s="32"/>
      <c r="Q97" s="32"/>
      <c r="R97" s="32"/>
      <c r="S97" s="32"/>
      <c r="T97" s="32"/>
      <c r="U97" s="32"/>
    </row>
    <row r="98" spans="1:21" ht="20.399999999999999" hidden="1" x14ac:dyDescent="0.3">
      <c r="A98" s="32"/>
      <c r="B98" s="32"/>
      <c r="C98" s="32"/>
      <c r="D98" s="32"/>
      <c r="E98" s="32"/>
      <c r="F98" s="32"/>
      <c r="G98" s="32"/>
      <c r="H98" s="32"/>
      <c r="I98" s="32"/>
      <c r="J98" s="32"/>
      <c r="K98" s="32"/>
      <c r="L98" s="32"/>
      <c r="M98" s="32"/>
      <c r="N98" s="32"/>
      <c r="O98" s="32"/>
      <c r="P98" s="32"/>
      <c r="Q98" s="32"/>
      <c r="R98" s="32"/>
      <c r="S98" s="32"/>
      <c r="T98" s="32"/>
      <c r="U98" s="32"/>
    </row>
    <row r="99" spans="1:21" ht="20.399999999999999" hidden="1" x14ac:dyDescent="0.3">
      <c r="A99" s="32"/>
      <c r="B99" s="32"/>
      <c r="C99" s="32"/>
      <c r="D99" s="32"/>
      <c r="E99" s="32"/>
      <c r="F99" s="32"/>
      <c r="G99" s="32"/>
      <c r="H99" s="32"/>
      <c r="I99" s="32"/>
      <c r="J99" s="32"/>
      <c r="K99" s="32"/>
      <c r="L99" s="32"/>
      <c r="M99" s="32"/>
      <c r="N99" s="32"/>
      <c r="O99" s="32"/>
      <c r="P99" s="32"/>
      <c r="Q99" s="32"/>
      <c r="R99" s="32"/>
      <c r="S99" s="32"/>
      <c r="T99" s="32"/>
      <c r="U99" s="32"/>
    </row>
    <row r="100" spans="1:21" ht="20.399999999999999" hidden="1" x14ac:dyDescent="0.3">
      <c r="A100" s="32"/>
      <c r="B100" s="32"/>
      <c r="C100" s="32"/>
      <c r="D100" s="32"/>
      <c r="E100" s="32"/>
      <c r="F100" s="32"/>
      <c r="G100" s="32"/>
      <c r="H100" s="32"/>
      <c r="I100" s="32"/>
      <c r="J100" s="32"/>
      <c r="K100" s="32"/>
      <c r="L100" s="32"/>
      <c r="M100" s="32"/>
      <c r="N100" s="32"/>
      <c r="O100" s="32"/>
      <c r="P100" s="32"/>
      <c r="Q100" s="32"/>
      <c r="R100" s="32"/>
      <c r="S100" s="32"/>
      <c r="T100" s="32"/>
      <c r="U100" s="32"/>
    </row>
    <row r="101" spans="1:21" ht="20.399999999999999" hidden="1" x14ac:dyDescent="0.3">
      <c r="A101" s="32"/>
      <c r="B101" s="32"/>
      <c r="C101" s="32"/>
      <c r="D101" s="32"/>
      <c r="E101" s="32"/>
      <c r="F101" s="32"/>
      <c r="G101" s="32"/>
      <c r="H101" s="32"/>
      <c r="I101" s="32"/>
      <c r="J101" s="32"/>
      <c r="K101" s="32"/>
      <c r="L101" s="32"/>
      <c r="M101" s="32"/>
      <c r="N101" s="32"/>
      <c r="O101" s="32"/>
      <c r="P101" s="32"/>
      <c r="Q101" s="32"/>
      <c r="R101" s="32"/>
      <c r="S101" s="32"/>
      <c r="T101" s="32"/>
      <c r="U101" s="32"/>
    </row>
    <row r="102" spans="1:21" ht="20.399999999999999" hidden="1" x14ac:dyDescent="0.3">
      <c r="A102" s="32"/>
      <c r="B102" s="32"/>
      <c r="C102" s="32"/>
      <c r="D102" s="32"/>
      <c r="E102" s="32"/>
      <c r="F102" s="32"/>
      <c r="G102" s="32"/>
      <c r="H102" s="32"/>
      <c r="I102" s="32"/>
      <c r="J102" s="32"/>
      <c r="K102" s="32"/>
      <c r="L102" s="32"/>
      <c r="M102" s="32"/>
      <c r="N102" s="32"/>
      <c r="O102" s="32"/>
      <c r="P102" s="32"/>
      <c r="Q102" s="32"/>
      <c r="R102" s="32"/>
      <c r="S102" s="32"/>
      <c r="T102" s="32"/>
      <c r="U102" s="32"/>
    </row>
    <row r="103" spans="1:21" ht="20.399999999999999" hidden="1" x14ac:dyDescent="0.3">
      <c r="A103" s="32"/>
      <c r="B103" s="32"/>
      <c r="C103" s="32"/>
      <c r="D103" s="32"/>
      <c r="E103" s="32"/>
      <c r="F103" s="32"/>
      <c r="G103" s="32"/>
      <c r="H103" s="32"/>
      <c r="I103" s="32"/>
      <c r="J103" s="32"/>
      <c r="K103" s="32"/>
      <c r="L103" s="32"/>
      <c r="M103" s="32"/>
      <c r="N103" s="32"/>
      <c r="O103" s="32"/>
      <c r="P103" s="32"/>
      <c r="Q103" s="32"/>
      <c r="R103" s="32"/>
      <c r="S103" s="32"/>
      <c r="T103" s="32"/>
      <c r="U103" s="32"/>
    </row>
    <row r="104" spans="1:21" ht="20.399999999999999" hidden="1" x14ac:dyDescent="0.3">
      <c r="A104" s="32"/>
      <c r="B104" s="32"/>
      <c r="C104" s="32"/>
      <c r="D104" s="32"/>
      <c r="E104" s="32"/>
      <c r="F104" s="32"/>
      <c r="G104" s="32"/>
      <c r="H104" s="32"/>
      <c r="I104" s="32"/>
      <c r="J104" s="32"/>
      <c r="K104" s="32"/>
      <c r="L104" s="32"/>
      <c r="M104" s="32"/>
      <c r="N104" s="32"/>
      <c r="O104" s="32"/>
      <c r="P104" s="32"/>
      <c r="Q104" s="32"/>
      <c r="R104" s="32"/>
      <c r="S104" s="32"/>
      <c r="T104" s="32"/>
      <c r="U104" s="32"/>
    </row>
    <row r="105" spans="1:21" ht="20.399999999999999" hidden="1" x14ac:dyDescent="0.3">
      <c r="A105" s="32"/>
      <c r="B105" s="32"/>
      <c r="C105" s="32"/>
      <c r="D105" s="32"/>
      <c r="E105" s="32"/>
      <c r="F105" s="32"/>
      <c r="G105" s="32"/>
      <c r="H105" s="32"/>
      <c r="I105" s="32"/>
      <c r="J105" s="32"/>
      <c r="K105" s="32"/>
      <c r="L105" s="32"/>
      <c r="M105" s="32"/>
      <c r="N105" s="32"/>
      <c r="O105" s="32"/>
      <c r="P105" s="32"/>
      <c r="Q105" s="32"/>
      <c r="R105" s="32"/>
      <c r="S105" s="32"/>
      <c r="T105" s="32"/>
      <c r="U105" s="32"/>
    </row>
    <row r="106" spans="1:21" ht="20.399999999999999" hidden="1" x14ac:dyDescent="0.3">
      <c r="A106" s="32"/>
      <c r="B106" s="32"/>
      <c r="C106" s="32"/>
      <c r="D106" s="32"/>
      <c r="E106" s="32"/>
      <c r="F106" s="32"/>
      <c r="G106" s="32"/>
      <c r="H106" s="32"/>
      <c r="I106" s="32"/>
      <c r="J106" s="32"/>
      <c r="K106" s="32"/>
      <c r="L106" s="32"/>
      <c r="M106" s="32"/>
      <c r="N106" s="32"/>
      <c r="O106" s="32"/>
      <c r="P106" s="32"/>
      <c r="Q106" s="32"/>
      <c r="R106" s="32"/>
      <c r="S106" s="32"/>
      <c r="T106" s="32"/>
      <c r="U106" s="32"/>
    </row>
    <row r="107" spans="1:21" ht="20.399999999999999" hidden="1" x14ac:dyDescent="0.3">
      <c r="A107" s="32"/>
      <c r="B107" s="32"/>
      <c r="C107" s="32"/>
      <c r="D107" s="32"/>
      <c r="E107" s="32"/>
      <c r="F107" s="32"/>
      <c r="G107" s="32"/>
      <c r="H107" s="32"/>
      <c r="I107" s="32"/>
      <c r="J107" s="32"/>
      <c r="K107" s="32"/>
      <c r="L107" s="32"/>
      <c r="M107" s="32"/>
      <c r="N107" s="32"/>
      <c r="O107" s="32"/>
      <c r="P107" s="32"/>
      <c r="Q107" s="32"/>
      <c r="R107" s="32"/>
      <c r="S107" s="32"/>
      <c r="T107" s="32"/>
      <c r="U107" s="32"/>
    </row>
    <row r="108" spans="1:21" ht="20.399999999999999" hidden="1" x14ac:dyDescent="0.3">
      <c r="A108" s="32"/>
      <c r="B108" s="32"/>
      <c r="C108" s="32"/>
      <c r="D108" s="32"/>
      <c r="E108" s="32"/>
      <c r="F108" s="32"/>
      <c r="G108" s="32"/>
      <c r="H108" s="32"/>
      <c r="I108" s="32"/>
      <c r="J108" s="32"/>
      <c r="K108" s="32"/>
      <c r="L108" s="32"/>
      <c r="M108" s="32"/>
      <c r="N108" s="32"/>
      <c r="O108" s="32"/>
      <c r="P108" s="32"/>
      <c r="Q108" s="32"/>
      <c r="R108" s="32"/>
      <c r="S108" s="32"/>
      <c r="T108" s="32"/>
      <c r="U108" s="32"/>
    </row>
    <row r="109" spans="1:21" ht="20.399999999999999" hidden="1" x14ac:dyDescent="0.3">
      <c r="A109" s="32"/>
      <c r="B109" s="32"/>
      <c r="C109" s="32"/>
      <c r="D109" s="32"/>
      <c r="E109" s="32"/>
      <c r="F109" s="32"/>
      <c r="G109" s="32"/>
      <c r="H109" s="32"/>
      <c r="I109" s="32"/>
      <c r="J109" s="32"/>
      <c r="K109" s="32"/>
      <c r="L109" s="32"/>
      <c r="M109" s="32"/>
      <c r="N109" s="32"/>
      <c r="O109" s="32"/>
      <c r="P109" s="32"/>
      <c r="Q109" s="32"/>
      <c r="R109" s="32"/>
      <c r="S109" s="32"/>
      <c r="T109" s="32"/>
      <c r="U109" s="32"/>
    </row>
    <row r="110" spans="1:21" ht="21" hidden="1" x14ac:dyDescent="0.3">
      <c r="A110" s="33"/>
      <c r="B110" s="34"/>
      <c r="C110" s="34"/>
      <c r="D110" s="34"/>
      <c r="E110" s="34"/>
      <c r="F110" s="35"/>
      <c r="G110" s="34"/>
      <c r="H110" s="36"/>
      <c r="I110" s="36"/>
      <c r="J110" s="36"/>
      <c r="K110" s="36"/>
      <c r="L110" s="36"/>
      <c r="M110" s="36"/>
      <c r="N110" s="36"/>
      <c r="O110" s="36"/>
      <c r="P110" s="36"/>
      <c r="Q110" s="36"/>
      <c r="R110" s="36"/>
      <c r="S110" s="36"/>
      <c r="T110" s="36"/>
      <c r="U110" s="36"/>
    </row>
    <row r="111" spans="1:21" ht="21" hidden="1" x14ac:dyDescent="0.3">
      <c r="A111" s="33"/>
      <c r="B111" s="34"/>
      <c r="C111" s="34"/>
      <c r="D111" s="34"/>
      <c r="E111" s="34"/>
      <c r="F111" s="35"/>
      <c r="G111" s="34"/>
      <c r="H111" s="36"/>
      <c r="I111" s="36"/>
      <c r="J111" s="36"/>
      <c r="K111" s="36"/>
      <c r="L111" s="36"/>
      <c r="M111" s="36"/>
      <c r="N111" s="36"/>
      <c r="O111" s="36"/>
      <c r="P111" s="36"/>
      <c r="Q111" s="36"/>
      <c r="R111" s="36"/>
      <c r="S111" s="36"/>
      <c r="T111" s="36"/>
      <c r="U111" s="36"/>
    </row>
    <row r="112" spans="1:21" ht="21" hidden="1" x14ac:dyDescent="0.3">
      <c r="A112" s="33"/>
      <c r="B112" s="34"/>
      <c r="C112" s="34"/>
      <c r="D112" s="34"/>
      <c r="E112" s="34"/>
      <c r="F112" s="35"/>
      <c r="G112" s="34"/>
      <c r="H112" s="36"/>
      <c r="I112" s="36"/>
      <c r="J112" s="36"/>
      <c r="K112" s="36"/>
      <c r="L112" s="36"/>
      <c r="M112" s="36"/>
      <c r="N112" s="36"/>
      <c r="O112" s="36"/>
      <c r="P112" s="36"/>
      <c r="Q112" s="36"/>
      <c r="R112" s="36"/>
      <c r="S112" s="36"/>
      <c r="T112" s="36"/>
      <c r="U112" s="36"/>
    </row>
    <row r="113" spans="1:21" ht="21" hidden="1" x14ac:dyDescent="0.3">
      <c r="A113" s="33"/>
      <c r="B113" s="34"/>
      <c r="C113" s="34"/>
      <c r="D113" s="34"/>
      <c r="E113" s="34"/>
      <c r="F113" s="35"/>
      <c r="G113" s="34"/>
      <c r="H113" s="36"/>
      <c r="I113" s="36"/>
      <c r="J113" s="36"/>
      <c r="K113" s="36"/>
      <c r="L113" s="36"/>
      <c r="M113" s="36"/>
      <c r="N113" s="36"/>
      <c r="O113" s="36"/>
      <c r="P113" s="36"/>
      <c r="Q113" s="36"/>
      <c r="R113" s="36"/>
      <c r="S113" s="36"/>
      <c r="T113" s="36"/>
      <c r="U113" s="36"/>
    </row>
    <row r="114" spans="1:21" ht="21" hidden="1" x14ac:dyDescent="0.3">
      <c r="A114" s="33"/>
      <c r="B114" s="34"/>
      <c r="C114" s="34"/>
      <c r="D114" s="34"/>
      <c r="E114" s="34"/>
      <c r="F114" s="35"/>
      <c r="G114" s="34"/>
      <c r="H114" s="36"/>
      <c r="I114" s="36"/>
      <c r="J114" s="36"/>
      <c r="K114" s="36"/>
      <c r="L114" s="36"/>
      <c r="M114" s="36"/>
      <c r="N114" s="36"/>
      <c r="O114" s="36"/>
      <c r="P114" s="36"/>
      <c r="Q114" s="36"/>
      <c r="R114" s="36"/>
      <c r="S114" s="36"/>
      <c r="T114" s="36"/>
      <c r="U114" s="36"/>
    </row>
    <row r="115" spans="1:21" ht="21" hidden="1" x14ac:dyDescent="0.3">
      <c r="A115" s="33"/>
      <c r="B115" s="34"/>
      <c r="C115" s="34"/>
      <c r="D115" s="34"/>
      <c r="E115" s="34"/>
      <c r="F115" s="35"/>
      <c r="G115" s="34"/>
      <c r="H115" s="36"/>
      <c r="I115" s="36"/>
      <c r="J115" s="36"/>
      <c r="K115" s="36"/>
      <c r="L115" s="36"/>
      <c r="M115" s="36"/>
      <c r="N115" s="36"/>
      <c r="O115" s="36"/>
      <c r="P115" s="36"/>
      <c r="Q115" s="36"/>
      <c r="R115" s="36"/>
      <c r="S115" s="36"/>
      <c r="T115" s="36"/>
      <c r="U115" s="36"/>
    </row>
    <row r="116" spans="1:21" ht="21" hidden="1" x14ac:dyDescent="0.3">
      <c r="A116" s="33"/>
      <c r="B116" s="34"/>
      <c r="C116" s="34"/>
      <c r="D116" s="34"/>
      <c r="E116" s="34"/>
      <c r="F116" s="35"/>
      <c r="G116" s="34"/>
      <c r="H116" s="36"/>
      <c r="I116" s="36"/>
      <c r="J116" s="36"/>
      <c r="K116" s="36"/>
      <c r="L116" s="36"/>
      <c r="M116" s="36"/>
      <c r="N116" s="36"/>
      <c r="O116" s="36"/>
      <c r="P116" s="36"/>
      <c r="Q116" s="36"/>
      <c r="R116" s="36"/>
      <c r="S116" s="36"/>
      <c r="T116" s="36"/>
      <c r="U116" s="36"/>
    </row>
    <row r="117" spans="1:21" ht="21" hidden="1" x14ac:dyDescent="0.3">
      <c r="A117" s="33"/>
      <c r="B117" s="34"/>
      <c r="C117" s="34"/>
      <c r="D117" s="34"/>
      <c r="E117" s="34"/>
      <c r="F117" s="35"/>
      <c r="G117" s="34"/>
      <c r="H117" s="36"/>
      <c r="I117" s="36"/>
      <c r="J117" s="36"/>
      <c r="K117" s="36"/>
      <c r="L117" s="36"/>
      <c r="M117" s="36"/>
      <c r="N117" s="36"/>
      <c r="O117" s="36"/>
      <c r="P117" s="36"/>
      <c r="Q117" s="36"/>
      <c r="R117" s="36"/>
      <c r="S117" s="36"/>
      <c r="T117" s="36"/>
      <c r="U117" s="36"/>
    </row>
    <row r="118" spans="1:21" ht="21" hidden="1" x14ac:dyDescent="0.3">
      <c r="A118" s="33"/>
      <c r="B118" s="34"/>
      <c r="C118" s="34"/>
      <c r="D118" s="34"/>
      <c r="E118" s="34"/>
      <c r="F118" s="35"/>
      <c r="G118" s="34"/>
      <c r="H118" s="36"/>
      <c r="I118" s="36"/>
      <c r="J118" s="36"/>
      <c r="K118" s="36"/>
      <c r="L118" s="36"/>
      <c r="M118" s="36"/>
      <c r="N118" s="36"/>
      <c r="O118" s="36"/>
      <c r="P118" s="36"/>
      <c r="Q118" s="36"/>
      <c r="R118" s="36"/>
      <c r="S118" s="36"/>
      <c r="T118" s="36"/>
      <c r="U118" s="36"/>
    </row>
    <row r="119" spans="1:21" ht="21" hidden="1" x14ac:dyDescent="0.3">
      <c r="A119" s="33"/>
      <c r="B119" s="34"/>
      <c r="C119" s="34"/>
      <c r="D119" s="34"/>
      <c r="E119" s="34"/>
      <c r="F119" s="35"/>
      <c r="G119" s="34"/>
      <c r="H119" s="36"/>
      <c r="I119" s="36"/>
      <c r="J119" s="36"/>
      <c r="K119" s="36"/>
      <c r="L119" s="36"/>
      <c r="M119" s="36"/>
      <c r="N119" s="36"/>
      <c r="O119" s="36"/>
      <c r="P119" s="36"/>
      <c r="Q119" s="36"/>
      <c r="R119" s="36"/>
      <c r="S119" s="36"/>
      <c r="T119" s="36"/>
      <c r="U119" s="36"/>
    </row>
    <row r="120" spans="1:21" ht="21" hidden="1" x14ac:dyDescent="0.3">
      <c r="A120" s="33"/>
      <c r="B120" s="34"/>
      <c r="C120" s="34"/>
      <c r="D120" s="34"/>
      <c r="E120" s="34"/>
      <c r="F120" s="35"/>
      <c r="G120" s="34"/>
      <c r="H120" s="36"/>
      <c r="I120" s="36"/>
      <c r="J120" s="36"/>
      <c r="K120" s="36"/>
      <c r="L120" s="36"/>
      <c r="M120" s="36"/>
      <c r="N120" s="36"/>
      <c r="O120" s="36"/>
      <c r="P120" s="36"/>
      <c r="Q120" s="36"/>
      <c r="R120" s="36"/>
      <c r="S120" s="36"/>
      <c r="T120" s="36"/>
      <c r="U120" s="36"/>
    </row>
    <row r="121" spans="1:21" ht="21" hidden="1" x14ac:dyDescent="0.3">
      <c r="A121" s="33"/>
      <c r="B121" s="34"/>
      <c r="C121" s="34"/>
      <c r="D121" s="34"/>
      <c r="E121" s="34"/>
      <c r="F121" s="35"/>
      <c r="G121" s="34"/>
      <c r="H121" s="36"/>
      <c r="I121" s="36"/>
      <c r="J121" s="36"/>
      <c r="K121" s="36"/>
      <c r="L121" s="36"/>
      <c r="M121" s="36"/>
      <c r="N121" s="36"/>
      <c r="O121" s="36"/>
      <c r="P121" s="36"/>
      <c r="Q121" s="36"/>
      <c r="R121" s="36"/>
      <c r="S121" s="36"/>
      <c r="T121" s="36"/>
      <c r="U121" s="36"/>
    </row>
    <row r="122" spans="1:21" ht="21" hidden="1" x14ac:dyDescent="0.3">
      <c r="A122" s="33"/>
      <c r="B122" s="34"/>
      <c r="C122" s="34"/>
      <c r="D122" s="34"/>
      <c r="E122" s="34"/>
      <c r="F122" s="35"/>
      <c r="G122" s="34"/>
      <c r="H122" s="36"/>
      <c r="I122" s="36"/>
      <c r="J122" s="36"/>
      <c r="K122" s="36"/>
      <c r="L122" s="36"/>
      <c r="M122" s="36"/>
      <c r="N122" s="36"/>
      <c r="O122" s="36"/>
      <c r="P122" s="36"/>
      <c r="Q122" s="36"/>
      <c r="R122" s="36"/>
      <c r="S122" s="36"/>
      <c r="T122" s="36"/>
      <c r="U122" s="36"/>
    </row>
    <row r="123" spans="1:21" ht="21" hidden="1" x14ac:dyDescent="0.3">
      <c r="A123" s="33"/>
      <c r="B123" s="34"/>
      <c r="C123" s="34"/>
      <c r="D123" s="34"/>
      <c r="E123" s="34"/>
      <c r="F123" s="35"/>
      <c r="G123" s="34"/>
      <c r="H123" s="36"/>
      <c r="I123" s="36"/>
      <c r="J123" s="36"/>
      <c r="K123" s="36"/>
      <c r="L123" s="36"/>
      <c r="M123" s="36"/>
      <c r="N123" s="36"/>
      <c r="O123" s="36"/>
      <c r="P123" s="36"/>
      <c r="Q123" s="36"/>
      <c r="R123" s="36"/>
      <c r="S123" s="36"/>
      <c r="T123" s="36"/>
      <c r="U123" s="36"/>
    </row>
    <row r="124" spans="1:21" ht="21" hidden="1" x14ac:dyDescent="0.3">
      <c r="A124" s="33"/>
      <c r="B124" s="34"/>
      <c r="C124" s="34"/>
      <c r="D124" s="34"/>
      <c r="E124" s="34"/>
      <c r="F124" s="35"/>
      <c r="G124" s="34"/>
      <c r="H124" s="36"/>
      <c r="I124" s="36"/>
      <c r="J124" s="36"/>
      <c r="K124" s="36"/>
      <c r="L124" s="36"/>
      <c r="M124" s="36"/>
      <c r="N124" s="36"/>
      <c r="O124" s="36"/>
      <c r="P124" s="36"/>
      <c r="Q124" s="36"/>
      <c r="R124" s="36"/>
      <c r="S124" s="36"/>
      <c r="T124" s="36"/>
      <c r="U124" s="36"/>
    </row>
    <row r="125" spans="1:21" ht="21" hidden="1" x14ac:dyDescent="0.3">
      <c r="A125" s="33"/>
      <c r="B125" s="34"/>
      <c r="C125" s="34"/>
      <c r="D125" s="34"/>
      <c r="E125" s="34"/>
      <c r="F125" s="35"/>
      <c r="G125" s="34"/>
      <c r="H125" s="36"/>
      <c r="I125" s="36"/>
      <c r="J125" s="36"/>
      <c r="K125" s="36"/>
      <c r="L125" s="36"/>
      <c r="M125" s="36"/>
      <c r="N125" s="36"/>
      <c r="O125" s="36"/>
      <c r="P125" s="36"/>
      <c r="Q125" s="36"/>
      <c r="R125" s="36"/>
      <c r="S125" s="36"/>
      <c r="T125" s="36"/>
      <c r="U125" s="36"/>
    </row>
    <row r="126" spans="1:21" ht="21" hidden="1" x14ac:dyDescent="0.3">
      <c r="A126" s="33"/>
      <c r="B126" s="34"/>
      <c r="C126" s="34"/>
      <c r="D126" s="34"/>
      <c r="E126" s="34"/>
      <c r="F126" s="35"/>
      <c r="G126" s="34"/>
      <c r="H126" s="36"/>
      <c r="I126" s="36"/>
      <c r="J126" s="36"/>
      <c r="K126" s="36"/>
      <c r="L126" s="36"/>
      <c r="M126" s="36"/>
      <c r="N126" s="36"/>
      <c r="O126" s="36"/>
      <c r="P126" s="36"/>
      <c r="Q126" s="36"/>
      <c r="R126" s="36"/>
      <c r="S126" s="36"/>
      <c r="T126" s="36"/>
      <c r="U126" s="36"/>
    </row>
    <row r="127" spans="1:21" ht="21" hidden="1" x14ac:dyDescent="0.3">
      <c r="A127" s="33"/>
      <c r="B127" s="34"/>
      <c r="C127" s="34"/>
      <c r="D127" s="34"/>
      <c r="E127" s="34"/>
      <c r="F127" s="35"/>
      <c r="G127" s="34"/>
      <c r="H127" s="36"/>
      <c r="I127" s="36"/>
      <c r="J127" s="36"/>
      <c r="K127" s="36"/>
      <c r="L127" s="36"/>
      <c r="M127" s="36"/>
      <c r="N127" s="36"/>
      <c r="O127" s="36"/>
      <c r="P127" s="36"/>
      <c r="Q127" s="36"/>
      <c r="R127" s="36"/>
      <c r="S127" s="36"/>
      <c r="T127" s="36"/>
      <c r="U127" s="36"/>
    </row>
    <row r="128" spans="1:21" ht="21" hidden="1" x14ac:dyDescent="0.3">
      <c r="A128" s="33"/>
      <c r="B128" s="34"/>
      <c r="C128" s="34"/>
      <c r="D128" s="34"/>
      <c r="E128" s="34"/>
      <c r="F128" s="35"/>
      <c r="G128" s="34"/>
      <c r="H128" s="36"/>
      <c r="I128" s="36"/>
      <c r="J128" s="36"/>
      <c r="K128" s="36"/>
      <c r="L128" s="36"/>
      <c r="M128" s="36"/>
      <c r="N128" s="36"/>
      <c r="O128" s="36"/>
      <c r="P128" s="36"/>
      <c r="Q128" s="36"/>
      <c r="R128" s="36"/>
      <c r="S128" s="36"/>
      <c r="T128" s="36"/>
      <c r="U128" s="36"/>
    </row>
    <row r="129" spans="1:21" ht="21" hidden="1" x14ac:dyDescent="0.3">
      <c r="A129" s="33"/>
      <c r="B129" s="34"/>
      <c r="C129" s="34"/>
      <c r="D129" s="34"/>
      <c r="E129" s="34"/>
      <c r="F129" s="35"/>
      <c r="G129" s="34"/>
      <c r="H129" s="36"/>
      <c r="I129" s="36"/>
      <c r="J129" s="36"/>
      <c r="K129" s="36"/>
      <c r="L129" s="36"/>
      <c r="M129" s="36"/>
      <c r="N129" s="36"/>
      <c r="O129" s="36"/>
      <c r="P129" s="36"/>
      <c r="Q129" s="36"/>
      <c r="R129" s="36"/>
      <c r="S129" s="36"/>
      <c r="T129" s="36"/>
      <c r="U129" s="36"/>
    </row>
    <row r="130" spans="1:21" ht="21" hidden="1" x14ac:dyDescent="0.3">
      <c r="A130" s="33"/>
      <c r="B130" s="34"/>
      <c r="C130" s="34"/>
      <c r="D130" s="34"/>
      <c r="E130" s="34"/>
      <c r="F130" s="35"/>
      <c r="G130" s="34"/>
      <c r="H130" s="36"/>
      <c r="I130" s="36"/>
      <c r="J130" s="36"/>
      <c r="K130" s="36"/>
      <c r="L130" s="36"/>
      <c r="M130" s="36"/>
      <c r="N130" s="36"/>
      <c r="O130" s="36"/>
      <c r="P130" s="36"/>
      <c r="Q130" s="36"/>
      <c r="R130" s="36"/>
      <c r="S130" s="36"/>
      <c r="T130" s="36"/>
      <c r="U130" s="36"/>
    </row>
    <row r="131" spans="1:21" ht="21" hidden="1" x14ac:dyDescent="0.3">
      <c r="A131" s="33"/>
      <c r="B131" s="34"/>
      <c r="C131" s="34"/>
      <c r="D131" s="34"/>
      <c r="E131" s="34"/>
      <c r="F131" s="35"/>
      <c r="G131" s="34"/>
      <c r="H131" s="36"/>
      <c r="I131" s="36"/>
      <c r="J131" s="36"/>
      <c r="K131" s="36"/>
      <c r="L131" s="36"/>
      <c r="M131" s="36"/>
      <c r="N131" s="36"/>
      <c r="O131" s="36"/>
      <c r="P131" s="36"/>
      <c r="Q131" s="36"/>
      <c r="R131" s="36"/>
      <c r="S131" s="36"/>
      <c r="T131" s="36"/>
      <c r="U131" s="36"/>
    </row>
    <row r="132" spans="1:21" ht="21" hidden="1" x14ac:dyDescent="0.3">
      <c r="A132" s="33"/>
      <c r="B132" s="34"/>
      <c r="C132" s="34"/>
      <c r="D132" s="34"/>
      <c r="E132" s="34"/>
      <c r="F132" s="35"/>
      <c r="G132" s="34"/>
      <c r="H132" s="36"/>
      <c r="I132" s="36"/>
      <c r="J132" s="36"/>
      <c r="K132" s="36"/>
      <c r="L132" s="36"/>
      <c r="M132" s="36"/>
      <c r="N132" s="36"/>
      <c r="O132" s="36"/>
      <c r="P132" s="36"/>
      <c r="Q132" s="36"/>
      <c r="R132" s="36"/>
      <c r="S132" s="36"/>
      <c r="T132" s="36"/>
      <c r="U132" s="36"/>
    </row>
    <row r="133" spans="1:21" ht="21" hidden="1" x14ac:dyDescent="0.3">
      <c r="A133" s="33"/>
      <c r="B133" s="34"/>
      <c r="C133" s="34"/>
      <c r="D133" s="34"/>
      <c r="E133" s="34"/>
      <c r="F133" s="35"/>
      <c r="G133" s="34"/>
      <c r="H133" s="36"/>
      <c r="I133" s="36"/>
      <c r="J133" s="36"/>
      <c r="K133" s="36"/>
      <c r="L133" s="36"/>
      <c r="M133" s="36"/>
      <c r="N133" s="36"/>
      <c r="O133" s="36"/>
      <c r="P133" s="36"/>
      <c r="Q133" s="36"/>
      <c r="R133" s="36"/>
      <c r="S133" s="36"/>
      <c r="T133" s="36"/>
      <c r="U133" s="36"/>
    </row>
    <row r="134" spans="1:21" ht="21" hidden="1" x14ac:dyDescent="0.3">
      <c r="A134" s="33"/>
      <c r="B134" s="34"/>
      <c r="C134" s="34"/>
      <c r="D134" s="34"/>
      <c r="E134" s="34"/>
      <c r="F134" s="35"/>
      <c r="G134" s="34"/>
      <c r="H134" s="36"/>
      <c r="I134" s="36"/>
      <c r="J134" s="36"/>
      <c r="K134" s="36"/>
      <c r="L134" s="36"/>
      <c r="M134" s="36"/>
      <c r="N134" s="36"/>
      <c r="O134" s="36"/>
      <c r="P134" s="36"/>
      <c r="Q134" s="36"/>
      <c r="R134" s="36"/>
      <c r="S134" s="36"/>
      <c r="T134" s="36"/>
      <c r="U134" s="36"/>
    </row>
    <row r="135" spans="1:21" ht="21" hidden="1" x14ac:dyDescent="0.3">
      <c r="A135" s="33"/>
      <c r="B135" s="34"/>
      <c r="C135" s="34"/>
      <c r="D135" s="34"/>
      <c r="E135" s="34"/>
      <c r="F135" s="35"/>
      <c r="G135" s="34"/>
      <c r="H135" s="36"/>
      <c r="I135" s="36"/>
      <c r="J135" s="36"/>
      <c r="K135" s="36"/>
      <c r="L135" s="36"/>
      <c r="M135" s="36"/>
      <c r="N135" s="36"/>
      <c r="O135" s="36"/>
      <c r="P135" s="36"/>
      <c r="Q135" s="36"/>
      <c r="R135" s="36"/>
      <c r="S135" s="36"/>
      <c r="T135" s="36"/>
      <c r="U135" s="36"/>
    </row>
    <row r="136" spans="1:21" ht="21" hidden="1" x14ac:dyDescent="0.3">
      <c r="A136" s="33"/>
      <c r="B136" s="34"/>
      <c r="C136" s="34"/>
      <c r="D136" s="34"/>
      <c r="E136" s="34"/>
      <c r="F136" s="35"/>
      <c r="G136" s="34"/>
      <c r="H136" s="36"/>
      <c r="I136" s="36"/>
      <c r="J136" s="36"/>
      <c r="K136" s="36"/>
      <c r="L136" s="36"/>
      <c r="M136" s="36"/>
      <c r="N136" s="36"/>
      <c r="O136" s="36"/>
      <c r="P136" s="36"/>
      <c r="Q136" s="36"/>
      <c r="R136" s="36"/>
      <c r="S136" s="36"/>
      <c r="T136" s="36"/>
      <c r="U136" s="36"/>
    </row>
    <row r="137" spans="1:21" ht="21" hidden="1" x14ac:dyDescent="0.3">
      <c r="A137" s="33"/>
      <c r="B137" s="34"/>
      <c r="C137" s="34"/>
      <c r="D137" s="34"/>
      <c r="E137" s="34"/>
      <c r="F137" s="35"/>
      <c r="G137" s="34"/>
      <c r="H137" s="36"/>
      <c r="I137" s="36"/>
      <c r="J137" s="36"/>
      <c r="K137" s="36"/>
      <c r="L137" s="36"/>
      <c r="M137" s="36"/>
      <c r="N137" s="36"/>
      <c r="O137" s="36"/>
      <c r="P137" s="36"/>
      <c r="Q137" s="36"/>
      <c r="R137" s="36"/>
      <c r="S137" s="36"/>
      <c r="T137" s="36"/>
      <c r="U137" s="36"/>
    </row>
    <row r="138" spans="1:21" ht="21" hidden="1" x14ac:dyDescent="0.3">
      <c r="A138" s="33"/>
      <c r="B138" s="34"/>
      <c r="C138" s="34"/>
      <c r="D138" s="34"/>
      <c r="E138" s="34"/>
      <c r="F138" s="35"/>
      <c r="G138" s="34"/>
      <c r="H138" s="36"/>
      <c r="I138" s="36"/>
      <c r="J138" s="36"/>
      <c r="K138" s="36"/>
      <c r="L138" s="36"/>
      <c r="M138" s="36"/>
      <c r="N138" s="36"/>
      <c r="O138" s="36"/>
      <c r="P138" s="36"/>
      <c r="Q138" s="36"/>
      <c r="R138" s="36"/>
      <c r="S138" s="36"/>
      <c r="T138" s="36"/>
      <c r="U138" s="36"/>
    </row>
    <row r="139" spans="1:21" ht="21" hidden="1" x14ac:dyDescent="0.3">
      <c r="A139" s="33"/>
      <c r="B139" s="34"/>
      <c r="C139" s="34"/>
      <c r="D139" s="34"/>
      <c r="E139" s="34"/>
      <c r="F139" s="35"/>
      <c r="G139" s="34"/>
      <c r="H139" s="36"/>
      <c r="I139" s="36"/>
      <c r="J139" s="36"/>
      <c r="K139" s="36"/>
      <c r="L139" s="36"/>
      <c r="M139" s="36"/>
      <c r="N139" s="36"/>
      <c r="O139" s="36"/>
      <c r="P139" s="36"/>
      <c r="Q139" s="36"/>
      <c r="R139" s="36"/>
      <c r="S139" s="36"/>
      <c r="T139" s="36"/>
      <c r="U139" s="36"/>
    </row>
    <row r="140" spans="1:21" ht="21" hidden="1" x14ac:dyDescent="0.3">
      <c r="A140" s="33"/>
      <c r="B140" s="34"/>
      <c r="C140" s="34"/>
      <c r="D140" s="34"/>
      <c r="E140" s="34"/>
      <c r="F140" s="35"/>
      <c r="G140" s="34"/>
      <c r="H140" s="36"/>
      <c r="I140" s="36"/>
      <c r="J140" s="36"/>
      <c r="K140" s="36"/>
      <c r="L140" s="36"/>
      <c r="M140" s="36"/>
      <c r="N140" s="36"/>
      <c r="O140" s="36"/>
      <c r="P140" s="36"/>
      <c r="Q140" s="36"/>
      <c r="R140" s="36"/>
      <c r="S140" s="36"/>
      <c r="T140" s="36"/>
      <c r="U140" s="36"/>
    </row>
    <row r="141" spans="1:21" ht="21" hidden="1" x14ac:dyDescent="0.3">
      <c r="A141" s="33"/>
      <c r="B141" s="34"/>
      <c r="C141" s="34"/>
      <c r="D141" s="34"/>
      <c r="E141" s="34"/>
      <c r="F141" s="35"/>
      <c r="G141" s="34"/>
      <c r="H141" s="36"/>
      <c r="I141" s="36"/>
      <c r="J141" s="36"/>
      <c r="K141" s="36"/>
      <c r="L141" s="36"/>
      <c r="M141" s="36"/>
      <c r="N141" s="36"/>
      <c r="O141" s="36"/>
      <c r="P141" s="36"/>
      <c r="Q141" s="36"/>
      <c r="R141" s="36"/>
      <c r="S141" s="36"/>
      <c r="T141" s="36"/>
      <c r="U141" s="36"/>
    </row>
    <row r="142" spans="1:21" ht="21" hidden="1" x14ac:dyDescent="0.3">
      <c r="A142" s="33"/>
      <c r="B142" s="34"/>
      <c r="C142" s="34"/>
      <c r="D142" s="34"/>
      <c r="E142" s="34"/>
      <c r="F142" s="35"/>
      <c r="G142" s="34"/>
      <c r="H142" s="36"/>
      <c r="I142" s="36"/>
      <c r="J142" s="36"/>
      <c r="K142" s="36"/>
      <c r="L142" s="36"/>
      <c r="M142" s="36"/>
      <c r="N142" s="36"/>
      <c r="O142" s="36"/>
      <c r="P142" s="36"/>
      <c r="Q142" s="36"/>
      <c r="R142" s="36"/>
      <c r="S142" s="36"/>
      <c r="T142" s="36"/>
      <c r="U142" s="36"/>
    </row>
    <row r="143" spans="1:21" ht="21" hidden="1" x14ac:dyDescent="0.3">
      <c r="A143" s="33"/>
      <c r="B143" s="34"/>
      <c r="C143" s="34"/>
      <c r="D143" s="34"/>
      <c r="E143" s="34"/>
      <c r="F143" s="35"/>
      <c r="G143" s="34"/>
      <c r="H143" s="36"/>
      <c r="I143" s="36"/>
      <c r="J143" s="36"/>
      <c r="K143" s="36"/>
      <c r="L143" s="36"/>
      <c r="M143" s="36"/>
      <c r="N143" s="36"/>
      <c r="O143" s="36"/>
      <c r="P143" s="36"/>
      <c r="Q143" s="36"/>
      <c r="R143" s="36"/>
      <c r="S143" s="36"/>
      <c r="T143" s="36"/>
      <c r="U143" s="36"/>
    </row>
    <row r="144" spans="1:21" ht="21" hidden="1" x14ac:dyDescent="0.3">
      <c r="A144" s="33"/>
      <c r="B144" s="34"/>
      <c r="C144" s="34"/>
      <c r="D144" s="34"/>
      <c r="E144" s="34"/>
      <c r="F144" s="35"/>
      <c r="G144" s="34"/>
      <c r="H144" s="36"/>
      <c r="I144" s="36"/>
      <c r="J144" s="36"/>
      <c r="K144" s="36"/>
      <c r="L144" s="36"/>
      <c r="M144" s="36"/>
      <c r="N144" s="36"/>
      <c r="O144" s="36"/>
      <c r="P144" s="36"/>
      <c r="Q144" s="36"/>
      <c r="R144" s="36"/>
      <c r="S144" s="36"/>
      <c r="T144" s="36"/>
      <c r="U144" s="36"/>
    </row>
    <row r="145" spans="1:21" ht="21" hidden="1" x14ac:dyDescent="0.3">
      <c r="A145" s="33"/>
      <c r="B145" s="34"/>
      <c r="C145" s="34"/>
      <c r="D145" s="34"/>
      <c r="E145" s="34"/>
      <c r="F145" s="35"/>
      <c r="G145" s="34"/>
      <c r="H145" s="36"/>
      <c r="I145" s="36"/>
      <c r="J145" s="36"/>
      <c r="K145" s="36"/>
      <c r="L145" s="36"/>
      <c r="M145" s="36"/>
      <c r="N145" s="36"/>
      <c r="O145" s="36"/>
      <c r="P145" s="36"/>
      <c r="Q145" s="36"/>
      <c r="R145" s="36"/>
      <c r="S145" s="36"/>
      <c r="T145" s="36"/>
      <c r="U145" s="36"/>
    </row>
    <row r="146" spans="1:21" ht="21" hidden="1" x14ac:dyDescent="0.3">
      <c r="A146" s="33"/>
      <c r="B146" s="34"/>
      <c r="C146" s="34"/>
      <c r="D146" s="34"/>
      <c r="E146" s="34"/>
      <c r="F146" s="35"/>
      <c r="G146" s="34"/>
      <c r="H146" s="36"/>
      <c r="I146" s="36"/>
      <c r="J146" s="36"/>
      <c r="K146" s="36"/>
      <c r="L146" s="36"/>
      <c r="M146" s="36"/>
      <c r="N146" s="36"/>
      <c r="O146" s="36"/>
      <c r="P146" s="36"/>
      <c r="Q146" s="36"/>
      <c r="R146" s="36"/>
      <c r="S146" s="36"/>
      <c r="T146" s="36"/>
      <c r="U146" s="36"/>
    </row>
    <row r="147" spans="1:21" ht="21" hidden="1" x14ac:dyDescent="0.3">
      <c r="A147" s="33"/>
      <c r="B147" s="34"/>
      <c r="C147" s="34"/>
      <c r="D147" s="34"/>
      <c r="E147" s="34"/>
      <c r="F147" s="35"/>
      <c r="G147" s="34"/>
      <c r="H147" s="36"/>
      <c r="I147" s="36"/>
      <c r="J147" s="36"/>
      <c r="K147" s="36"/>
      <c r="L147" s="36"/>
      <c r="M147" s="36"/>
      <c r="N147" s="36"/>
      <c r="O147" s="36"/>
      <c r="P147" s="36"/>
      <c r="Q147" s="36"/>
      <c r="R147" s="36"/>
      <c r="S147" s="36"/>
      <c r="T147" s="36"/>
      <c r="U147" s="36"/>
    </row>
    <row r="148" spans="1:21" ht="21" hidden="1" x14ac:dyDescent="0.3">
      <c r="A148" s="33"/>
      <c r="B148" s="34"/>
      <c r="C148" s="34"/>
      <c r="D148" s="34"/>
      <c r="E148" s="34"/>
      <c r="F148" s="35"/>
      <c r="G148" s="34"/>
      <c r="H148" s="36"/>
      <c r="I148" s="36"/>
      <c r="J148" s="36"/>
      <c r="K148" s="36"/>
      <c r="L148" s="36"/>
      <c r="M148" s="36"/>
      <c r="N148" s="36"/>
      <c r="O148" s="36"/>
      <c r="P148" s="36"/>
      <c r="Q148" s="36"/>
      <c r="R148" s="36"/>
      <c r="S148" s="36"/>
      <c r="T148" s="36"/>
      <c r="U148" s="36"/>
    </row>
    <row r="149" spans="1:21" ht="21" hidden="1" x14ac:dyDescent="0.3">
      <c r="A149" s="33"/>
      <c r="B149" s="34"/>
      <c r="C149" s="34"/>
      <c r="D149" s="34"/>
      <c r="E149" s="34"/>
      <c r="F149" s="35"/>
      <c r="G149" s="34"/>
      <c r="H149" s="36"/>
      <c r="I149" s="36"/>
      <c r="J149" s="36"/>
      <c r="K149" s="36"/>
      <c r="L149" s="36"/>
      <c r="M149" s="36"/>
      <c r="N149" s="36"/>
      <c r="O149" s="36"/>
      <c r="P149" s="36"/>
      <c r="Q149" s="36"/>
      <c r="R149" s="36"/>
      <c r="S149" s="36"/>
      <c r="T149" s="36"/>
      <c r="U149" s="36"/>
    </row>
    <row r="150" spans="1:21" ht="21" hidden="1" x14ac:dyDescent="0.3">
      <c r="A150" s="33"/>
      <c r="B150" s="34"/>
      <c r="C150" s="34"/>
      <c r="D150" s="34"/>
      <c r="E150" s="34"/>
      <c r="F150" s="35"/>
      <c r="G150" s="34"/>
      <c r="H150" s="36"/>
      <c r="I150" s="36"/>
      <c r="J150" s="36"/>
      <c r="K150" s="36"/>
      <c r="L150" s="36"/>
      <c r="M150" s="36"/>
      <c r="N150" s="36"/>
      <c r="O150" s="36"/>
      <c r="P150" s="36"/>
      <c r="Q150" s="36"/>
      <c r="R150" s="36"/>
      <c r="S150" s="36"/>
      <c r="T150" s="36"/>
      <c r="U150" s="36"/>
    </row>
    <row r="151" spans="1:21" ht="21" hidden="1" x14ac:dyDescent="0.3">
      <c r="A151" s="33"/>
      <c r="B151" s="34"/>
      <c r="C151" s="34"/>
      <c r="D151" s="34"/>
      <c r="E151" s="34"/>
      <c r="F151" s="35"/>
      <c r="G151" s="34"/>
      <c r="H151" s="36"/>
      <c r="I151" s="36"/>
      <c r="J151" s="36"/>
      <c r="K151" s="36"/>
      <c r="L151" s="36"/>
      <c r="M151" s="36"/>
      <c r="N151" s="36"/>
      <c r="O151" s="36"/>
      <c r="P151" s="36"/>
      <c r="Q151" s="36"/>
      <c r="R151" s="36"/>
      <c r="S151" s="36"/>
      <c r="T151" s="36"/>
      <c r="U151" s="36"/>
    </row>
    <row r="152" spans="1:21" ht="21" hidden="1" x14ac:dyDescent="0.3">
      <c r="A152" s="33"/>
      <c r="B152" s="34"/>
      <c r="C152" s="34"/>
      <c r="D152" s="34"/>
      <c r="E152" s="34"/>
      <c r="F152" s="35"/>
      <c r="G152" s="34"/>
      <c r="H152" s="36"/>
      <c r="I152" s="36"/>
      <c r="J152" s="36"/>
      <c r="K152" s="36"/>
      <c r="L152" s="36"/>
      <c r="M152" s="36"/>
      <c r="N152" s="36"/>
      <c r="O152" s="36"/>
      <c r="P152" s="36"/>
      <c r="Q152" s="36"/>
      <c r="R152" s="36"/>
      <c r="S152" s="36"/>
      <c r="T152" s="36"/>
      <c r="U152" s="36"/>
    </row>
    <row r="153" spans="1:21" ht="21" hidden="1" x14ac:dyDescent="0.3">
      <c r="A153" s="33"/>
      <c r="B153" s="34"/>
      <c r="C153" s="34"/>
      <c r="D153" s="34"/>
      <c r="E153" s="34"/>
      <c r="F153" s="35"/>
      <c r="G153" s="34"/>
      <c r="H153" s="36"/>
      <c r="I153" s="36"/>
      <c r="J153" s="36"/>
      <c r="K153" s="36"/>
      <c r="L153" s="36"/>
      <c r="M153" s="36"/>
      <c r="N153" s="36"/>
      <c r="O153" s="36"/>
      <c r="P153" s="36"/>
      <c r="Q153" s="36"/>
      <c r="R153" s="36"/>
      <c r="S153" s="36"/>
      <c r="T153" s="36"/>
      <c r="U153" s="36"/>
    </row>
    <row r="154" spans="1:21" ht="21" hidden="1" x14ac:dyDescent="0.3">
      <c r="A154" s="33"/>
      <c r="B154" s="34"/>
      <c r="C154" s="34"/>
      <c r="D154" s="34"/>
      <c r="E154" s="34"/>
      <c r="F154" s="35"/>
      <c r="G154" s="34"/>
      <c r="H154" s="36"/>
      <c r="I154" s="36"/>
      <c r="J154" s="36"/>
      <c r="K154" s="36"/>
      <c r="L154" s="36"/>
      <c r="M154" s="36"/>
      <c r="N154" s="36"/>
      <c r="O154" s="36"/>
      <c r="P154" s="36"/>
      <c r="Q154" s="36"/>
      <c r="R154" s="36"/>
      <c r="S154" s="36"/>
      <c r="T154" s="36"/>
      <c r="U154" s="36"/>
    </row>
    <row r="155" spans="1:21" ht="21" hidden="1" x14ac:dyDescent="0.3">
      <c r="A155" s="33"/>
      <c r="B155" s="34"/>
      <c r="C155" s="34"/>
      <c r="D155" s="34"/>
      <c r="E155" s="34"/>
      <c r="F155" s="35"/>
      <c r="G155" s="34"/>
      <c r="H155" s="36"/>
      <c r="I155" s="36"/>
      <c r="J155" s="36"/>
      <c r="K155" s="36"/>
      <c r="L155" s="36"/>
      <c r="M155" s="36"/>
      <c r="N155" s="36"/>
      <c r="O155" s="36"/>
      <c r="P155" s="36"/>
      <c r="Q155" s="36"/>
      <c r="R155" s="36"/>
      <c r="S155" s="36"/>
      <c r="T155" s="36"/>
      <c r="U155" s="36"/>
    </row>
    <row r="156" spans="1:21" ht="21" hidden="1" x14ac:dyDescent="0.3">
      <c r="A156" s="33"/>
      <c r="B156" s="34"/>
      <c r="C156" s="34"/>
      <c r="D156" s="34"/>
      <c r="E156" s="34"/>
      <c r="F156" s="35"/>
      <c r="G156" s="34"/>
      <c r="H156" s="36"/>
      <c r="I156" s="36"/>
      <c r="J156" s="36"/>
      <c r="K156" s="36"/>
      <c r="L156" s="36"/>
      <c r="M156" s="36"/>
      <c r="N156" s="36"/>
      <c r="O156" s="36"/>
      <c r="P156" s="36"/>
      <c r="Q156" s="36"/>
      <c r="R156" s="36"/>
      <c r="S156" s="36"/>
      <c r="T156" s="36"/>
      <c r="U156" s="36"/>
    </row>
    <row r="157" spans="1:21" ht="21" hidden="1" x14ac:dyDescent="0.3">
      <c r="A157" s="33"/>
      <c r="B157" s="34"/>
      <c r="C157" s="34"/>
      <c r="D157" s="34"/>
      <c r="E157" s="34"/>
      <c r="F157" s="35"/>
      <c r="G157" s="34"/>
      <c r="H157" s="36"/>
      <c r="I157" s="36"/>
      <c r="J157" s="36"/>
      <c r="K157" s="36"/>
      <c r="L157" s="36"/>
      <c r="M157" s="36"/>
      <c r="N157" s="36"/>
      <c r="O157" s="36"/>
      <c r="P157" s="36"/>
      <c r="Q157" s="36"/>
      <c r="R157" s="36"/>
      <c r="S157" s="36"/>
      <c r="T157" s="36"/>
      <c r="U157" s="36"/>
    </row>
    <row r="158" spans="1:21" ht="21" hidden="1" x14ac:dyDescent="0.3">
      <c r="A158" s="33"/>
      <c r="B158" s="34"/>
      <c r="C158" s="34"/>
      <c r="D158" s="34"/>
      <c r="E158" s="34"/>
      <c r="F158" s="35"/>
      <c r="G158" s="34"/>
      <c r="H158" s="36"/>
      <c r="I158" s="36"/>
      <c r="J158" s="36"/>
      <c r="K158" s="36"/>
      <c r="L158" s="36"/>
      <c r="M158" s="36"/>
      <c r="N158" s="36"/>
      <c r="O158" s="36"/>
      <c r="P158" s="36"/>
      <c r="Q158" s="36"/>
      <c r="R158" s="36"/>
      <c r="S158" s="36"/>
      <c r="T158" s="36"/>
      <c r="U158" s="36"/>
    </row>
    <row r="159" spans="1:21" ht="21" hidden="1" x14ac:dyDescent="0.3">
      <c r="A159" s="33"/>
      <c r="B159" s="34"/>
      <c r="C159" s="34"/>
      <c r="D159" s="34"/>
      <c r="E159" s="34"/>
      <c r="F159" s="35"/>
      <c r="G159" s="34"/>
      <c r="H159" s="36"/>
      <c r="I159" s="36"/>
      <c r="J159" s="36"/>
      <c r="K159" s="36"/>
      <c r="L159" s="36"/>
      <c r="M159" s="36"/>
      <c r="N159" s="36"/>
      <c r="O159" s="36"/>
      <c r="P159" s="36"/>
      <c r="Q159" s="36"/>
      <c r="R159" s="36"/>
      <c r="S159" s="36"/>
      <c r="T159" s="36"/>
      <c r="U159" s="36"/>
    </row>
    <row r="160" spans="1:21" ht="21" hidden="1" x14ac:dyDescent="0.3">
      <c r="A160" s="33"/>
      <c r="B160" s="34"/>
      <c r="C160" s="34"/>
      <c r="D160" s="34"/>
      <c r="E160" s="34"/>
      <c r="F160" s="35"/>
      <c r="G160" s="34"/>
      <c r="H160" s="36"/>
      <c r="I160" s="36"/>
      <c r="J160" s="36"/>
      <c r="K160" s="36"/>
      <c r="L160" s="36"/>
      <c r="M160" s="36"/>
      <c r="N160" s="36"/>
      <c r="O160" s="36"/>
      <c r="P160" s="36"/>
      <c r="Q160" s="36"/>
      <c r="R160" s="36"/>
      <c r="S160" s="36"/>
      <c r="T160" s="36"/>
      <c r="U160" s="36"/>
    </row>
    <row r="161" spans="1:21" ht="21" hidden="1" x14ac:dyDescent="0.3">
      <c r="A161" s="33"/>
      <c r="B161" s="34"/>
      <c r="C161" s="34"/>
      <c r="D161" s="34"/>
      <c r="E161" s="34"/>
      <c r="F161" s="35"/>
      <c r="G161" s="34"/>
      <c r="H161" s="36"/>
      <c r="I161" s="36"/>
      <c r="J161" s="36"/>
      <c r="K161" s="36"/>
      <c r="L161" s="36"/>
      <c r="M161" s="36"/>
      <c r="N161" s="36"/>
      <c r="O161" s="36"/>
      <c r="P161" s="36"/>
      <c r="Q161" s="36"/>
      <c r="R161" s="36"/>
      <c r="S161" s="36"/>
      <c r="T161" s="36"/>
      <c r="U161" s="36"/>
    </row>
    <row r="162" spans="1:21" ht="21" hidden="1" x14ac:dyDescent="0.3">
      <c r="A162" s="33"/>
      <c r="B162" s="34"/>
      <c r="C162" s="34"/>
      <c r="D162" s="34"/>
      <c r="E162" s="34"/>
      <c r="F162" s="35"/>
      <c r="G162" s="34"/>
      <c r="H162" s="36"/>
      <c r="I162" s="36"/>
      <c r="J162" s="36"/>
      <c r="K162" s="36"/>
      <c r="L162" s="36"/>
      <c r="M162" s="36"/>
      <c r="N162" s="36"/>
      <c r="O162" s="36"/>
      <c r="P162" s="36"/>
      <c r="Q162" s="36"/>
      <c r="R162" s="36"/>
      <c r="S162" s="36"/>
      <c r="T162" s="36"/>
      <c r="U162" s="36"/>
    </row>
    <row r="163" spans="1:21" ht="21" hidden="1" x14ac:dyDescent="0.3">
      <c r="A163" s="33"/>
      <c r="B163" s="34"/>
      <c r="C163" s="34"/>
      <c r="D163" s="34"/>
      <c r="E163" s="34"/>
      <c r="F163" s="35"/>
      <c r="G163" s="34"/>
      <c r="H163" s="36"/>
      <c r="I163" s="36"/>
      <c r="J163" s="36"/>
      <c r="K163" s="36"/>
      <c r="L163" s="36"/>
      <c r="M163" s="36"/>
      <c r="N163" s="36"/>
      <c r="O163" s="36"/>
      <c r="P163" s="36"/>
      <c r="Q163" s="36"/>
      <c r="R163" s="36"/>
      <c r="S163" s="36"/>
      <c r="T163" s="36"/>
      <c r="U163" s="36"/>
    </row>
    <row r="164" spans="1:21" ht="21" hidden="1" x14ac:dyDescent="0.3">
      <c r="A164" s="33"/>
      <c r="B164" s="34"/>
      <c r="C164" s="34"/>
      <c r="D164" s="34"/>
      <c r="E164" s="34"/>
      <c r="F164" s="35"/>
      <c r="G164" s="34"/>
      <c r="H164" s="36"/>
      <c r="I164" s="36"/>
      <c r="J164" s="36"/>
      <c r="K164" s="36"/>
      <c r="L164" s="36"/>
      <c r="M164" s="36"/>
      <c r="N164" s="36"/>
      <c r="O164" s="36"/>
      <c r="P164" s="36"/>
      <c r="Q164" s="36"/>
      <c r="R164" s="36"/>
      <c r="S164" s="36"/>
      <c r="T164" s="36"/>
      <c r="U164" s="36"/>
    </row>
    <row r="165" spans="1:21" ht="21" hidden="1" x14ac:dyDescent="0.3">
      <c r="A165" s="33"/>
      <c r="B165" s="34"/>
      <c r="C165" s="34"/>
      <c r="D165" s="34"/>
      <c r="E165" s="34"/>
      <c r="F165" s="35"/>
      <c r="G165" s="34"/>
      <c r="H165" s="36"/>
      <c r="I165" s="36"/>
      <c r="J165" s="36"/>
      <c r="K165" s="36"/>
      <c r="L165" s="36"/>
      <c r="M165" s="36"/>
      <c r="N165" s="36"/>
      <c r="O165" s="36"/>
      <c r="P165" s="36"/>
      <c r="Q165" s="36"/>
      <c r="R165" s="36"/>
      <c r="S165" s="36"/>
      <c r="T165" s="36"/>
      <c r="U165" s="36"/>
    </row>
    <row r="166" spans="1:21" ht="21" hidden="1" x14ac:dyDescent="0.3">
      <c r="A166" s="33"/>
      <c r="B166" s="34"/>
      <c r="C166" s="34"/>
      <c r="D166" s="34"/>
      <c r="E166" s="34"/>
      <c r="F166" s="35"/>
      <c r="G166" s="34"/>
      <c r="H166" s="36"/>
      <c r="I166" s="36"/>
      <c r="J166" s="36"/>
      <c r="K166" s="36"/>
      <c r="L166" s="36"/>
      <c r="M166" s="36"/>
      <c r="N166" s="36"/>
      <c r="O166" s="36"/>
      <c r="P166" s="36"/>
      <c r="Q166" s="36"/>
      <c r="R166" s="36"/>
      <c r="S166" s="36"/>
      <c r="T166" s="36"/>
      <c r="U166" s="36"/>
    </row>
    <row r="167" spans="1:21" ht="21" hidden="1" x14ac:dyDescent="0.3">
      <c r="A167" s="33"/>
      <c r="B167" s="34"/>
      <c r="C167" s="34"/>
      <c r="D167" s="34"/>
      <c r="E167" s="34"/>
      <c r="F167" s="35"/>
      <c r="G167" s="34"/>
      <c r="H167" s="36"/>
      <c r="I167" s="36"/>
      <c r="J167" s="36"/>
      <c r="K167" s="36"/>
      <c r="L167" s="36"/>
      <c r="M167" s="36"/>
      <c r="N167" s="36"/>
      <c r="O167" s="36"/>
      <c r="P167" s="36"/>
      <c r="Q167" s="36"/>
      <c r="R167" s="36"/>
      <c r="S167" s="36"/>
      <c r="T167" s="36"/>
      <c r="U167" s="36"/>
    </row>
    <row r="168" spans="1:21" ht="21" hidden="1" x14ac:dyDescent="0.3">
      <c r="A168" s="33"/>
      <c r="B168" s="34"/>
      <c r="C168" s="34"/>
      <c r="D168" s="34"/>
      <c r="E168" s="34"/>
      <c r="F168" s="35"/>
      <c r="G168" s="34"/>
      <c r="H168" s="36"/>
      <c r="I168" s="36"/>
      <c r="J168" s="36"/>
      <c r="K168" s="36"/>
      <c r="L168" s="36"/>
      <c r="M168" s="36"/>
      <c r="N168" s="36"/>
      <c r="O168" s="36"/>
      <c r="P168" s="36"/>
      <c r="Q168" s="36"/>
      <c r="R168" s="36"/>
      <c r="S168" s="36"/>
      <c r="T168" s="36"/>
      <c r="U168" s="36"/>
    </row>
    <row r="169" spans="1:21" ht="21" hidden="1" x14ac:dyDescent="0.3">
      <c r="A169" s="33"/>
      <c r="B169" s="34"/>
      <c r="C169" s="34"/>
      <c r="D169" s="34"/>
      <c r="E169" s="34"/>
      <c r="F169" s="35"/>
      <c r="G169" s="34"/>
      <c r="H169" s="36"/>
      <c r="I169" s="36"/>
      <c r="J169" s="36"/>
      <c r="K169" s="36"/>
      <c r="L169" s="36"/>
      <c r="M169" s="36"/>
      <c r="N169" s="36"/>
      <c r="O169" s="36"/>
      <c r="P169" s="36"/>
      <c r="Q169" s="36"/>
      <c r="R169" s="36"/>
      <c r="S169" s="36"/>
      <c r="T169" s="36"/>
      <c r="U169" s="36"/>
    </row>
    <row r="170" spans="1:21" ht="21" hidden="1" x14ac:dyDescent="0.3">
      <c r="A170" s="33"/>
      <c r="B170" s="34"/>
      <c r="C170" s="34"/>
      <c r="D170" s="34"/>
      <c r="E170" s="34"/>
      <c r="F170" s="35"/>
      <c r="G170" s="34"/>
      <c r="H170" s="36"/>
      <c r="I170" s="36"/>
      <c r="J170" s="36"/>
      <c r="K170" s="36"/>
      <c r="L170" s="36"/>
      <c r="M170" s="36"/>
      <c r="N170" s="36"/>
      <c r="O170" s="36"/>
      <c r="P170" s="36"/>
      <c r="Q170" s="36"/>
      <c r="R170" s="36"/>
      <c r="S170" s="36"/>
      <c r="T170" s="36"/>
      <c r="U170" s="36"/>
    </row>
    <row r="171" spans="1:21" ht="21" hidden="1" x14ac:dyDescent="0.3">
      <c r="A171" s="33"/>
      <c r="B171" s="34"/>
      <c r="C171" s="34"/>
      <c r="D171" s="34"/>
      <c r="E171" s="34"/>
      <c r="F171" s="35"/>
      <c r="G171" s="34"/>
      <c r="H171" s="36"/>
      <c r="I171" s="36"/>
      <c r="J171" s="36"/>
      <c r="K171" s="36"/>
      <c r="L171" s="36"/>
      <c r="M171" s="36"/>
      <c r="N171" s="36"/>
      <c r="O171" s="36"/>
      <c r="P171" s="36"/>
      <c r="Q171" s="36"/>
      <c r="R171" s="36"/>
      <c r="S171" s="36"/>
      <c r="T171" s="36"/>
      <c r="U171" s="36"/>
    </row>
    <row r="172" spans="1:21" ht="21" hidden="1" x14ac:dyDescent="0.3">
      <c r="A172" s="33"/>
      <c r="B172" s="34"/>
      <c r="C172" s="34"/>
      <c r="D172" s="34"/>
      <c r="E172" s="34"/>
      <c r="F172" s="35"/>
      <c r="G172" s="34"/>
      <c r="H172" s="36"/>
      <c r="I172" s="36"/>
      <c r="J172" s="36"/>
      <c r="K172" s="36"/>
      <c r="L172" s="36"/>
      <c r="M172" s="36"/>
      <c r="N172" s="36"/>
      <c r="O172" s="36"/>
      <c r="P172" s="36"/>
      <c r="Q172" s="36"/>
      <c r="R172" s="36"/>
      <c r="S172" s="36"/>
      <c r="T172" s="36"/>
      <c r="U172" s="36"/>
    </row>
    <row r="173" spans="1:21" ht="21" hidden="1" x14ac:dyDescent="0.3">
      <c r="A173" s="33"/>
      <c r="B173" s="34"/>
      <c r="C173" s="34"/>
      <c r="D173" s="34"/>
      <c r="E173" s="34"/>
      <c r="F173" s="35"/>
      <c r="G173" s="34"/>
      <c r="H173" s="36"/>
      <c r="I173" s="36"/>
      <c r="J173" s="36"/>
      <c r="K173" s="36"/>
      <c r="L173" s="36"/>
      <c r="M173" s="36"/>
      <c r="N173" s="36"/>
      <c r="O173" s="36"/>
      <c r="P173" s="36"/>
      <c r="Q173" s="36"/>
      <c r="R173" s="36"/>
      <c r="S173" s="36"/>
      <c r="T173" s="36"/>
      <c r="U173" s="36"/>
    </row>
    <row r="174" spans="1:21" ht="21" hidden="1" x14ac:dyDescent="0.3">
      <c r="A174" s="33"/>
      <c r="B174" s="34"/>
      <c r="C174" s="34"/>
      <c r="D174" s="34"/>
      <c r="E174" s="34"/>
      <c r="F174" s="35"/>
      <c r="G174" s="34"/>
      <c r="H174" s="36"/>
      <c r="I174" s="36"/>
      <c r="J174" s="36"/>
      <c r="K174" s="36"/>
      <c r="L174" s="36"/>
      <c r="M174" s="36"/>
      <c r="N174" s="36"/>
      <c r="O174" s="36"/>
      <c r="P174" s="36"/>
      <c r="Q174" s="36"/>
      <c r="R174" s="36"/>
      <c r="S174" s="36"/>
      <c r="T174" s="36"/>
      <c r="U174" s="36"/>
    </row>
    <row r="175" spans="1:21" ht="21" hidden="1" x14ac:dyDescent="0.3">
      <c r="A175" s="33"/>
      <c r="B175" s="34"/>
      <c r="C175" s="34"/>
      <c r="D175" s="34"/>
      <c r="E175" s="34"/>
      <c r="F175" s="35"/>
      <c r="G175" s="34"/>
      <c r="H175" s="36"/>
      <c r="I175" s="36"/>
      <c r="J175" s="36"/>
      <c r="K175" s="36"/>
      <c r="L175" s="36"/>
      <c r="M175" s="36"/>
      <c r="N175" s="36"/>
      <c r="O175" s="36"/>
      <c r="P175" s="36"/>
      <c r="Q175" s="36"/>
      <c r="R175" s="36"/>
      <c r="S175" s="36"/>
      <c r="T175" s="36"/>
      <c r="U175" s="36"/>
    </row>
    <row r="176" spans="1:21" ht="21" hidden="1" x14ac:dyDescent="0.3">
      <c r="A176" s="33"/>
      <c r="B176" s="34"/>
      <c r="C176" s="34"/>
      <c r="D176" s="34"/>
      <c r="E176" s="34"/>
      <c r="F176" s="35"/>
      <c r="G176" s="34"/>
      <c r="H176" s="36"/>
      <c r="I176" s="36"/>
      <c r="J176" s="36"/>
      <c r="K176" s="36"/>
      <c r="L176" s="36"/>
      <c r="M176" s="36"/>
      <c r="N176" s="36"/>
      <c r="O176" s="36"/>
      <c r="P176" s="36"/>
      <c r="Q176" s="36"/>
      <c r="R176" s="36"/>
      <c r="S176" s="36"/>
      <c r="T176" s="36"/>
      <c r="U176" s="36"/>
    </row>
    <row r="177" spans="1:21" ht="21" hidden="1" x14ac:dyDescent="0.3">
      <c r="A177" s="33"/>
      <c r="B177" s="34"/>
      <c r="C177" s="34"/>
      <c r="D177" s="34"/>
      <c r="E177" s="34"/>
      <c r="F177" s="35"/>
      <c r="G177" s="34"/>
      <c r="H177" s="36"/>
      <c r="I177" s="36"/>
      <c r="J177" s="36"/>
      <c r="K177" s="36"/>
      <c r="L177" s="36"/>
      <c r="M177" s="36"/>
      <c r="N177" s="36"/>
      <c r="O177" s="36"/>
      <c r="P177" s="36"/>
      <c r="Q177" s="36"/>
      <c r="R177" s="36"/>
      <c r="S177" s="36"/>
      <c r="T177" s="36"/>
      <c r="U177" s="36"/>
    </row>
    <row r="178" spans="1:21" ht="21" hidden="1" x14ac:dyDescent="0.3">
      <c r="A178" s="33"/>
      <c r="B178" s="34"/>
      <c r="C178" s="34"/>
      <c r="D178" s="34"/>
      <c r="E178" s="34"/>
      <c r="F178" s="35"/>
      <c r="G178" s="34"/>
      <c r="H178" s="36"/>
      <c r="I178" s="36"/>
      <c r="J178" s="36"/>
      <c r="K178" s="36"/>
      <c r="L178" s="36"/>
      <c r="M178" s="36"/>
      <c r="N178" s="36"/>
      <c r="O178" s="36"/>
      <c r="P178" s="36"/>
      <c r="Q178" s="36"/>
      <c r="R178" s="36"/>
      <c r="S178" s="36"/>
      <c r="T178" s="36"/>
      <c r="U178" s="36"/>
    </row>
    <row r="179" spans="1:21" ht="21" hidden="1" x14ac:dyDescent="0.3">
      <c r="A179" s="33"/>
      <c r="B179" s="34"/>
      <c r="C179" s="34"/>
      <c r="D179" s="34"/>
      <c r="E179" s="34"/>
      <c r="F179" s="35"/>
      <c r="G179" s="34"/>
      <c r="H179" s="36"/>
      <c r="I179" s="36"/>
      <c r="J179" s="36"/>
      <c r="K179" s="36"/>
      <c r="L179" s="36"/>
      <c r="M179" s="36"/>
      <c r="N179" s="36"/>
      <c r="O179" s="36"/>
      <c r="P179" s="36"/>
      <c r="Q179" s="36"/>
      <c r="R179" s="36"/>
      <c r="S179" s="36"/>
      <c r="T179" s="36"/>
      <c r="U179" s="36"/>
    </row>
    <row r="180" spans="1:21" ht="21" hidden="1" x14ac:dyDescent="0.3">
      <c r="A180" s="33"/>
      <c r="B180" s="34"/>
      <c r="C180" s="34"/>
      <c r="D180" s="34"/>
      <c r="E180" s="34"/>
      <c r="F180" s="35"/>
      <c r="G180" s="34"/>
      <c r="H180" s="36"/>
      <c r="I180" s="36"/>
      <c r="J180" s="36"/>
      <c r="K180" s="36"/>
      <c r="L180" s="36"/>
      <c r="M180" s="36"/>
      <c r="N180" s="36"/>
      <c r="O180" s="36"/>
      <c r="P180" s="36"/>
      <c r="Q180" s="36"/>
      <c r="R180" s="36"/>
      <c r="S180" s="36"/>
      <c r="T180" s="36"/>
      <c r="U180" s="36"/>
    </row>
    <row r="181" spans="1:21" ht="21" hidden="1" x14ac:dyDescent="0.3">
      <c r="A181" s="33"/>
      <c r="B181" s="34"/>
      <c r="C181" s="34"/>
      <c r="D181" s="34"/>
      <c r="E181" s="34"/>
      <c r="F181" s="35"/>
      <c r="G181" s="34"/>
      <c r="H181" s="36"/>
      <c r="I181" s="36"/>
      <c r="J181" s="36"/>
      <c r="K181" s="36"/>
      <c r="L181" s="36"/>
      <c r="M181" s="36"/>
      <c r="N181" s="36"/>
      <c r="O181" s="36"/>
      <c r="P181" s="36"/>
      <c r="Q181" s="36"/>
      <c r="R181" s="36"/>
      <c r="S181" s="36"/>
      <c r="T181" s="36"/>
      <c r="U181" s="36"/>
    </row>
    <row r="182" spans="1:21" ht="21" hidden="1" x14ac:dyDescent="0.3">
      <c r="A182" s="33"/>
      <c r="B182" s="34"/>
      <c r="C182" s="34"/>
      <c r="D182" s="34"/>
      <c r="E182" s="34"/>
      <c r="F182" s="35"/>
      <c r="G182" s="34"/>
      <c r="H182" s="36"/>
      <c r="I182" s="36"/>
      <c r="J182" s="36"/>
      <c r="K182" s="36"/>
      <c r="L182" s="36"/>
      <c r="M182" s="36"/>
      <c r="N182" s="36"/>
      <c r="O182" s="36"/>
      <c r="P182" s="36"/>
      <c r="Q182" s="36"/>
      <c r="R182" s="36"/>
      <c r="S182" s="36"/>
      <c r="T182" s="36"/>
      <c r="U182" s="36"/>
    </row>
    <row r="183" spans="1:21" ht="21" hidden="1" x14ac:dyDescent="0.3">
      <c r="A183" s="33"/>
      <c r="B183" s="34"/>
      <c r="C183" s="34"/>
      <c r="D183" s="34"/>
      <c r="E183" s="34"/>
      <c r="F183" s="35"/>
      <c r="G183" s="34"/>
      <c r="H183" s="36"/>
      <c r="I183" s="36"/>
      <c r="J183" s="36"/>
      <c r="K183" s="36"/>
      <c r="L183" s="36"/>
      <c r="M183" s="36"/>
      <c r="N183" s="36"/>
      <c r="O183" s="36"/>
      <c r="P183" s="36"/>
      <c r="Q183" s="36"/>
      <c r="R183" s="36"/>
      <c r="S183" s="36"/>
      <c r="T183" s="36"/>
      <c r="U183" s="36"/>
    </row>
    <row r="184" spans="1:21" ht="21" hidden="1" x14ac:dyDescent="0.3">
      <c r="A184" s="33"/>
      <c r="B184" s="34"/>
      <c r="C184" s="34"/>
      <c r="D184" s="34"/>
      <c r="E184" s="34"/>
      <c r="F184" s="35"/>
      <c r="G184" s="34"/>
      <c r="H184" s="36"/>
      <c r="I184" s="36"/>
      <c r="J184" s="36"/>
      <c r="K184" s="36"/>
      <c r="L184" s="36"/>
      <c r="M184" s="36"/>
      <c r="N184" s="36"/>
      <c r="O184" s="36"/>
      <c r="P184" s="36"/>
      <c r="Q184" s="36"/>
      <c r="R184" s="36"/>
      <c r="S184" s="36"/>
      <c r="T184" s="36"/>
      <c r="U184" s="36"/>
    </row>
    <row r="185" spans="1:21" ht="21" hidden="1" x14ac:dyDescent="0.3">
      <c r="A185" s="33"/>
      <c r="B185" s="34"/>
      <c r="C185" s="34"/>
      <c r="D185" s="34"/>
      <c r="E185" s="34"/>
      <c r="F185" s="35"/>
      <c r="G185" s="34"/>
      <c r="H185" s="36"/>
      <c r="I185" s="36"/>
      <c r="J185" s="36"/>
      <c r="K185" s="36"/>
      <c r="L185" s="36"/>
      <c r="M185" s="36"/>
      <c r="N185" s="36"/>
      <c r="O185" s="36"/>
      <c r="P185" s="36"/>
      <c r="Q185" s="36"/>
      <c r="R185" s="36"/>
      <c r="S185" s="36"/>
      <c r="T185" s="36"/>
      <c r="U185" s="36"/>
    </row>
    <row r="186" spans="1:21" ht="21" hidden="1" x14ac:dyDescent="0.3">
      <c r="A186" s="33"/>
      <c r="B186" s="34"/>
      <c r="C186" s="34"/>
      <c r="D186" s="34"/>
      <c r="E186" s="34"/>
      <c r="F186" s="35"/>
      <c r="G186" s="34"/>
      <c r="H186" s="36"/>
      <c r="I186" s="36"/>
      <c r="J186" s="36"/>
      <c r="K186" s="36"/>
      <c r="L186" s="36"/>
      <c r="M186" s="36"/>
      <c r="N186" s="36"/>
      <c r="O186" s="36"/>
      <c r="P186" s="36"/>
      <c r="Q186" s="36"/>
      <c r="R186" s="36"/>
      <c r="S186" s="36"/>
      <c r="T186" s="36"/>
      <c r="U186" s="36"/>
    </row>
    <row r="187" spans="1:21" ht="21" hidden="1" x14ac:dyDescent="0.3">
      <c r="A187" s="33"/>
      <c r="B187" s="34"/>
      <c r="C187" s="34"/>
      <c r="D187" s="34"/>
      <c r="E187" s="34"/>
      <c r="F187" s="35"/>
      <c r="G187" s="34"/>
      <c r="H187" s="36"/>
      <c r="I187" s="36"/>
      <c r="J187" s="36"/>
      <c r="K187" s="36"/>
      <c r="L187" s="36"/>
      <c r="M187" s="36"/>
      <c r="N187" s="36"/>
      <c r="O187" s="36"/>
      <c r="P187" s="36"/>
      <c r="Q187" s="36"/>
      <c r="R187" s="36"/>
      <c r="S187" s="36"/>
      <c r="T187" s="36"/>
      <c r="U187" s="36"/>
    </row>
    <row r="188" spans="1:21" ht="21" hidden="1" x14ac:dyDescent="0.3">
      <c r="A188" s="33"/>
      <c r="B188" s="34"/>
      <c r="C188" s="34"/>
      <c r="D188" s="34"/>
      <c r="E188" s="34"/>
      <c r="F188" s="35"/>
      <c r="G188" s="34"/>
      <c r="H188" s="36"/>
      <c r="I188" s="36"/>
      <c r="J188" s="36"/>
      <c r="K188" s="36"/>
      <c r="L188" s="36"/>
      <c r="M188" s="36"/>
      <c r="N188" s="36"/>
      <c r="O188" s="36"/>
      <c r="P188" s="36"/>
      <c r="Q188" s="36"/>
      <c r="R188" s="36"/>
      <c r="S188" s="36"/>
      <c r="T188" s="36"/>
      <c r="U188" s="36"/>
    </row>
    <row r="189" spans="1:21" ht="21" hidden="1" x14ac:dyDescent="0.3">
      <c r="A189" s="33"/>
      <c r="B189" s="34"/>
      <c r="C189" s="34"/>
      <c r="D189" s="34"/>
      <c r="E189" s="34"/>
      <c r="F189" s="35"/>
      <c r="G189" s="34"/>
      <c r="H189" s="36"/>
      <c r="I189" s="36"/>
      <c r="J189" s="36"/>
      <c r="K189" s="36"/>
      <c r="L189" s="36"/>
      <c r="M189" s="36"/>
      <c r="N189" s="36"/>
      <c r="O189" s="36"/>
      <c r="P189" s="36"/>
      <c r="Q189" s="36"/>
      <c r="R189" s="36"/>
      <c r="S189" s="36"/>
      <c r="T189" s="36"/>
      <c r="U189" s="36"/>
    </row>
    <row r="190" spans="1:21" ht="21" hidden="1" x14ac:dyDescent="0.3">
      <c r="A190" s="33"/>
      <c r="B190" s="34"/>
      <c r="C190" s="34"/>
      <c r="D190" s="34"/>
      <c r="E190" s="34"/>
      <c r="F190" s="35"/>
      <c r="G190" s="34"/>
      <c r="H190" s="36"/>
      <c r="I190" s="36"/>
      <c r="J190" s="36"/>
      <c r="K190" s="36"/>
      <c r="L190" s="36"/>
      <c r="M190" s="36"/>
      <c r="N190" s="36"/>
      <c r="O190" s="36"/>
      <c r="P190" s="36"/>
      <c r="Q190" s="36"/>
      <c r="R190" s="36"/>
      <c r="S190" s="36"/>
      <c r="T190" s="36"/>
      <c r="U190" s="36"/>
    </row>
  </sheetData>
  <autoFilter ref="A1:U190" xr:uid="{682DD022-7C91-4D60-9919-071ABF55DB9C}">
    <filterColumn colId="2">
      <filters>
        <filter val="BD"/>
      </filters>
    </filterColumn>
  </autoFilter>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06F06-5FF9-4B32-83C9-9EB4905EFC3C}">
  <sheetPr filterMode="1"/>
  <dimension ref="A1:Z105"/>
  <sheetViews>
    <sheetView topLeftCell="A10" zoomScale="80" zoomScaleNormal="80" workbookViewId="0">
      <selection activeCell="H5" sqref="H5"/>
    </sheetView>
  </sheetViews>
  <sheetFormatPr defaultRowHeight="15.6" x14ac:dyDescent="0.3"/>
  <cols>
    <col min="1" max="1" width="21.69921875" style="11" customWidth="1"/>
    <col min="2" max="2" width="39.3984375" style="11" customWidth="1"/>
    <col min="3" max="3" width="11.59765625" bestFit="1" customWidth="1"/>
    <col min="4" max="4" width="9.19921875" bestFit="1" customWidth="1"/>
    <col min="5" max="5" width="9.59765625" bestFit="1" customWidth="1"/>
    <col min="6" max="6" width="9.5" bestFit="1" customWidth="1"/>
    <col min="7" max="7" width="9.09765625" bestFit="1" customWidth="1"/>
    <col min="8" max="8" width="20.69921875" bestFit="1" customWidth="1"/>
    <col min="9" max="9" width="78.8984375" customWidth="1"/>
  </cols>
  <sheetData>
    <row r="1" spans="1:26" s="27" customFormat="1" ht="13.8" x14ac:dyDescent="0.3">
      <c r="A1" s="26" t="s">
        <v>580</v>
      </c>
      <c r="B1" s="26" t="s">
        <v>93</v>
      </c>
      <c r="C1" s="25" t="s">
        <v>279</v>
      </c>
      <c r="D1" s="25" t="s">
        <v>581</v>
      </c>
      <c r="E1" s="25" t="s">
        <v>582</v>
      </c>
      <c r="F1" s="25" t="s">
        <v>583</v>
      </c>
      <c r="G1" s="26" t="s">
        <v>584</v>
      </c>
      <c r="H1" s="25" t="s">
        <v>585</v>
      </c>
      <c r="I1" s="26" t="s">
        <v>586</v>
      </c>
      <c r="J1" s="25"/>
      <c r="K1" s="25"/>
      <c r="L1" s="25"/>
      <c r="M1" s="25"/>
      <c r="N1" s="25"/>
      <c r="O1" s="25"/>
      <c r="P1" s="25"/>
      <c r="Q1" s="25"/>
      <c r="R1" s="25"/>
      <c r="S1" s="25"/>
      <c r="T1" s="25"/>
      <c r="U1" s="25"/>
      <c r="V1" s="25"/>
      <c r="W1" s="25"/>
      <c r="X1" s="25"/>
      <c r="Y1" s="25"/>
      <c r="Z1" s="25"/>
    </row>
    <row r="2" spans="1:26" ht="303.60000000000002" x14ac:dyDescent="0.3">
      <c r="A2" s="24" t="s">
        <v>17</v>
      </c>
      <c r="B2" s="24" t="s">
        <v>287</v>
      </c>
      <c r="C2" s="21" t="s">
        <v>288</v>
      </c>
      <c r="D2" s="21" t="s">
        <v>289</v>
      </c>
      <c r="E2" s="22">
        <v>43647</v>
      </c>
      <c r="F2" s="23">
        <v>46752</v>
      </c>
      <c r="G2" s="24" t="s">
        <v>290</v>
      </c>
      <c r="H2" s="21" t="s">
        <v>291</v>
      </c>
      <c r="I2" s="24" t="s">
        <v>292</v>
      </c>
    </row>
    <row r="3" spans="1:26" ht="248.4" x14ac:dyDescent="0.3">
      <c r="A3" s="24" t="s">
        <v>17</v>
      </c>
      <c r="B3" s="24" t="s">
        <v>293</v>
      </c>
      <c r="C3" s="21" t="s">
        <v>294</v>
      </c>
      <c r="D3" s="21" t="s">
        <v>295</v>
      </c>
      <c r="E3" s="23">
        <v>43060</v>
      </c>
      <c r="F3" s="22">
        <v>45930</v>
      </c>
      <c r="G3" s="24" t="s">
        <v>290</v>
      </c>
      <c r="H3" s="21" t="s">
        <v>296</v>
      </c>
      <c r="I3" s="24" t="s">
        <v>297</v>
      </c>
    </row>
    <row r="4" spans="1:26" ht="69" x14ac:dyDescent="0.3">
      <c r="A4" s="24" t="s">
        <v>17</v>
      </c>
      <c r="B4" s="24" t="s">
        <v>298</v>
      </c>
      <c r="C4" s="21" t="s">
        <v>299</v>
      </c>
      <c r="D4" s="21" t="s">
        <v>295</v>
      </c>
      <c r="E4" s="22">
        <v>42425</v>
      </c>
      <c r="F4" s="22">
        <v>45929</v>
      </c>
      <c r="G4" s="24" t="s">
        <v>290</v>
      </c>
      <c r="H4" s="21" t="s">
        <v>291</v>
      </c>
      <c r="I4" s="24" t="s">
        <v>300</v>
      </c>
    </row>
    <row r="5" spans="1:26" ht="110.4" x14ac:dyDescent="0.3">
      <c r="A5" s="24" t="s">
        <v>17</v>
      </c>
      <c r="B5" s="24" t="s">
        <v>301</v>
      </c>
      <c r="C5" s="21" t="s">
        <v>302</v>
      </c>
      <c r="D5" s="21" t="s">
        <v>289</v>
      </c>
      <c r="E5" s="23">
        <v>45288</v>
      </c>
      <c r="F5" s="23">
        <v>46383</v>
      </c>
      <c r="G5" s="24" t="s">
        <v>290</v>
      </c>
      <c r="H5" s="21" t="s">
        <v>291</v>
      </c>
      <c r="I5" s="24" t="s">
        <v>303</v>
      </c>
    </row>
    <row r="6" spans="1:26" ht="27.6" x14ac:dyDescent="0.3">
      <c r="A6" s="24" t="s">
        <v>17</v>
      </c>
      <c r="B6" s="24" t="s">
        <v>304</v>
      </c>
      <c r="C6" s="21" t="s">
        <v>305</v>
      </c>
      <c r="D6" s="21" t="s">
        <v>295</v>
      </c>
      <c r="E6" s="22">
        <v>41852</v>
      </c>
      <c r="F6" s="22">
        <v>46599</v>
      </c>
      <c r="G6" s="24" t="s">
        <v>290</v>
      </c>
      <c r="H6" s="21" t="s">
        <v>296</v>
      </c>
      <c r="I6" s="24" t="s">
        <v>306</v>
      </c>
    </row>
    <row r="7" spans="1:26" ht="41.4" x14ac:dyDescent="0.3">
      <c r="A7" s="24" t="s">
        <v>17</v>
      </c>
      <c r="B7" s="24" t="s">
        <v>307</v>
      </c>
      <c r="C7" s="21" t="s">
        <v>299</v>
      </c>
      <c r="D7" s="21" t="s">
        <v>295</v>
      </c>
      <c r="E7" s="22">
        <v>42425</v>
      </c>
      <c r="F7" s="22">
        <v>45929</v>
      </c>
      <c r="G7" s="24" t="s">
        <v>290</v>
      </c>
      <c r="H7" s="21" t="s">
        <v>291</v>
      </c>
      <c r="I7" s="24" t="s">
        <v>308</v>
      </c>
    </row>
    <row r="8" spans="1:26" x14ac:dyDescent="0.3">
      <c r="A8" s="24" t="s">
        <v>17</v>
      </c>
      <c r="B8" s="24" t="s">
        <v>309</v>
      </c>
      <c r="C8" s="21" t="s">
        <v>310</v>
      </c>
      <c r="D8" s="21" t="s">
        <v>295</v>
      </c>
      <c r="E8" s="23">
        <v>43452</v>
      </c>
      <c r="F8" s="23">
        <v>46387</v>
      </c>
      <c r="G8" s="24" t="s">
        <v>290</v>
      </c>
      <c r="H8" s="21" t="s">
        <v>296</v>
      </c>
      <c r="I8" s="24" t="s">
        <v>311</v>
      </c>
    </row>
    <row r="9" spans="1:26" ht="82.8" hidden="1" x14ac:dyDescent="0.3">
      <c r="A9" s="24" t="s">
        <v>17</v>
      </c>
      <c r="B9" s="24" t="s">
        <v>312</v>
      </c>
      <c r="C9" s="21" t="s">
        <v>310</v>
      </c>
      <c r="D9" s="21" t="s">
        <v>289</v>
      </c>
      <c r="E9" s="23">
        <v>43452</v>
      </c>
      <c r="F9" s="23">
        <v>45657</v>
      </c>
      <c r="G9" s="24" t="s">
        <v>313</v>
      </c>
      <c r="H9" s="21" t="s">
        <v>296</v>
      </c>
      <c r="I9" s="24" t="s">
        <v>314</v>
      </c>
    </row>
    <row r="10" spans="1:26" ht="220.8" x14ac:dyDescent="0.3">
      <c r="A10" s="24" t="s">
        <v>17</v>
      </c>
      <c r="B10" s="24" t="s">
        <v>315</v>
      </c>
      <c r="C10" s="21" t="s">
        <v>316</v>
      </c>
      <c r="D10" s="21" t="s">
        <v>289</v>
      </c>
      <c r="E10" s="22">
        <v>45441</v>
      </c>
      <c r="F10" s="22">
        <v>47266</v>
      </c>
      <c r="G10" s="24" t="s">
        <v>290</v>
      </c>
      <c r="H10" s="21" t="s">
        <v>291</v>
      </c>
      <c r="I10" s="24" t="s">
        <v>317</v>
      </c>
    </row>
    <row r="11" spans="1:26" ht="124.2" hidden="1" x14ac:dyDescent="0.3">
      <c r="A11" s="24" t="s">
        <v>395</v>
      </c>
      <c r="B11" s="24" t="s">
        <v>562</v>
      </c>
      <c r="C11" s="21" t="s">
        <v>397</v>
      </c>
      <c r="D11" s="21" t="s">
        <v>289</v>
      </c>
      <c r="E11" s="22">
        <v>44628</v>
      </c>
      <c r="F11" s="22">
        <v>45717</v>
      </c>
      <c r="G11" s="24" t="s">
        <v>290</v>
      </c>
      <c r="H11" s="21" t="s">
        <v>321</v>
      </c>
      <c r="I11" s="24" t="s">
        <v>398</v>
      </c>
    </row>
    <row r="12" spans="1:26" hidden="1" x14ac:dyDescent="0.3">
      <c r="A12" s="24" t="s">
        <v>152</v>
      </c>
      <c r="B12" s="24" t="s">
        <v>323</v>
      </c>
      <c r="C12" s="21" t="s">
        <v>282</v>
      </c>
      <c r="D12" s="21" t="s">
        <v>289</v>
      </c>
      <c r="E12" s="22">
        <v>44742</v>
      </c>
      <c r="F12" s="22">
        <v>45837</v>
      </c>
      <c r="G12" s="24" t="s">
        <v>290</v>
      </c>
      <c r="H12" s="21" t="s">
        <v>324</v>
      </c>
      <c r="I12" s="24" t="s">
        <v>325</v>
      </c>
    </row>
    <row r="13" spans="1:26" ht="276" hidden="1" x14ac:dyDescent="0.3">
      <c r="A13" s="24" t="s">
        <v>114</v>
      </c>
      <c r="B13" s="24" t="s">
        <v>326</v>
      </c>
      <c r="C13" s="21" t="s">
        <v>327</v>
      </c>
      <c r="D13" s="21" t="s">
        <v>295</v>
      </c>
      <c r="E13" s="23">
        <v>43067</v>
      </c>
      <c r="F13" s="23">
        <v>45989</v>
      </c>
      <c r="G13" s="24" t="s">
        <v>290</v>
      </c>
      <c r="H13" s="21" t="s">
        <v>328</v>
      </c>
      <c r="I13" s="24" t="s">
        <v>329</v>
      </c>
    </row>
    <row r="14" spans="1:26" ht="124.2" hidden="1" x14ac:dyDescent="0.3">
      <c r="A14" s="24" t="s">
        <v>399</v>
      </c>
      <c r="B14" s="24" t="s">
        <v>539</v>
      </c>
      <c r="C14" s="21" t="s">
        <v>540</v>
      </c>
      <c r="D14" s="21" t="s">
        <v>289</v>
      </c>
      <c r="E14" s="22">
        <v>43862</v>
      </c>
      <c r="F14" s="22">
        <v>45930</v>
      </c>
      <c r="G14" s="24" t="s">
        <v>290</v>
      </c>
      <c r="H14" s="21" t="s">
        <v>321</v>
      </c>
      <c r="I14" s="24" t="s">
        <v>541</v>
      </c>
    </row>
    <row r="15" spans="1:26" ht="220.8" hidden="1" x14ac:dyDescent="0.3">
      <c r="A15" s="24" t="s">
        <v>334</v>
      </c>
      <c r="B15" s="24" t="s">
        <v>335</v>
      </c>
      <c r="C15" s="21" t="s">
        <v>336</v>
      </c>
      <c r="D15" s="21" t="s">
        <v>337</v>
      </c>
      <c r="E15" s="22">
        <v>45108</v>
      </c>
      <c r="F15" s="22">
        <v>46388</v>
      </c>
      <c r="G15" s="24" t="s">
        <v>290</v>
      </c>
      <c r="H15" s="21" t="s">
        <v>324</v>
      </c>
      <c r="I15" s="24" t="s">
        <v>338</v>
      </c>
    </row>
    <row r="16" spans="1:26" ht="151.80000000000001" hidden="1" x14ac:dyDescent="0.3">
      <c r="A16" s="24" t="s">
        <v>339</v>
      </c>
      <c r="B16" s="24" t="s">
        <v>340</v>
      </c>
      <c r="C16" s="21" t="s">
        <v>341</v>
      </c>
      <c r="D16" s="21" t="s">
        <v>295</v>
      </c>
      <c r="E16" s="22">
        <v>44927</v>
      </c>
      <c r="F16" s="23">
        <v>46022</v>
      </c>
      <c r="G16" s="24" t="s">
        <v>290</v>
      </c>
      <c r="H16" s="21" t="s">
        <v>296</v>
      </c>
      <c r="I16" s="24" t="s">
        <v>342</v>
      </c>
    </row>
    <row r="17" spans="1:9" ht="124.2" hidden="1" x14ac:dyDescent="0.3">
      <c r="A17" s="24" t="s">
        <v>399</v>
      </c>
      <c r="B17" s="24" t="s">
        <v>563</v>
      </c>
      <c r="C17" s="21" t="s">
        <v>540</v>
      </c>
      <c r="D17" s="21" t="s">
        <v>289</v>
      </c>
      <c r="E17" s="22">
        <v>43862</v>
      </c>
      <c r="F17" s="22">
        <v>45930</v>
      </c>
      <c r="G17" s="24" t="s">
        <v>290</v>
      </c>
      <c r="H17" s="21" t="s">
        <v>321</v>
      </c>
      <c r="I17" s="24" t="s">
        <v>541</v>
      </c>
    </row>
    <row r="18" spans="1:9" ht="138" hidden="1" x14ac:dyDescent="0.3">
      <c r="A18" s="24" t="s">
        <v>347</v>
      </c>
      <c r="B18" s="24" t="s">
        <v>348</v>
      </c>
      <c r="C18" s="21" t="s">
        <v>349</v>
      </c>
      <c r="D18" s="21" t="s">
        <v>289</v>
      </c>
      <c r="E18" s="22">
        <v>44984</v>
      </c>
      <c r="F18" s="22">
        <v>46079</v>
      </c>
      <c r="G18" s="24" t="s">
        <v>290</v>
      </c>
      <c r="H18" s="21" t="s">
        <v>296</v>
      </c>
      <c r="I18" s="24" t="s">
        <v>350</v>
      </c>
    </row>
    <row r="19" spans="1:9" ht="27.6" hidden="1" x14ac:dyDescent="0.3">
      <c r="A19" s="45" t="s">
        <v>409</v>
      </c>
      <c r="B19" s="45" t="s">
        <v>410</v>
      </c>
      <c r="C19" s="46" t="s">
        <v>411</v>
      </c>
      <c r="D19" s="46" t="s">
        <v>289</v>
      </c>
      <c r="E19" s="47">
        <v>43556</v>
      </c>
      <c r="F19" s="47">
        <v>45688</v>
      </c>
      <c r="G19" s="45" t="s">
        <v>290</v>
      </c>
      <c r="H19" s="46" t="s">
        <v>321</v>
      </c>
      <c r="I19" s="45" t="s">
        <v>412</v>
      </c>
    </row>
    <row r="20" spans="1:9" ht="165.6" hidden="1" x14ac:dyDescent="0.3">
      <c r="A20" s="24" t="s">
        <v>355</v>
      </c>
      <c r="B20" s="24" t="s">
        <v>356</v>
      </c>
      <c r="C20" s="21" t="s">
        <v>357</v>
      </c>
      <c r="D20" s="21" t="s">
        <v>358</v>
      </c>
      <c r="E20" s="23">
        <v>42703</v>
      </c>
      <c r="F20" s="22">
        <v>46081</v>
      </c>
      <c r="G20" s="24" t="s">
        <v>290</v>
      </c>
      <c r="H20" s="21" t="s">
        <v>296</v>
      </c>
      <c r="I20" s="24" t="s">
        <v>359</v>
      </c>
    </row>
    <row r="21" spans="1:9" ht="234.6" hidden="1" x14ac:dyDescent="0.3">
      <c r="A21" s="24" t="s">
        <v>360</v>
      </c>
      <c r="B21" s="24" t="s">
        <v>361</v>
      </c>
      <c r="C21" s="21" t="s">
        <v>362</v>
      </c>
      <c r="D21" s="21" t="s">
        <v>295</v>
      </c>
      <c r="E21" s="22">
        <v>45017</v>
      </c>
      <c r="F21" s="22">
        <v>46934</v>
      </c>
      <c r="G21" s="24" t="s">
        <v>290</v>
      </c>
      <c r="H21" s="21" t="s">
        <v>363</v>
      </c>
      <c r="I21" s="24" t="s">
        <v>364</v>
      </c>
    </row>
    <row r="22" spans="1:9" ht="82.8" hidden="1" x14ac:dyDescent="0.3">
      <c r="A22" s="24" t="s">
        <v>108</v>
      </c>
      <c r="B22" s="24" t="s">
        <v>403</v>
      </c>
      <c r="C22" s="21" t="s">
        <v>404</v>
      </c>
      <c r="D22" s="21" t="s">
        <v>289</v>
      </c>
      <c r="E22" s="22">
        <v>45108</v>
      </c>
      <c r="F22" s="22">
        <v>46265</v>
      </c>
      <c r="G22" s="24" t="s">
        <v>290</v>
      </c>
      <c r="H22" s="21" t="s">
        <v>321</v>
      </c>
      <c r="I22" s="24" t="s">
        <v>405</v>
      </c>
    </row>
    <row r="23" spans="1:9" ht="124.2" hidden="1" x14ac:dyDescent="0.3">
      <c r="A23" s="24" t="s">
        <v>369</v>
      </c>
      <c r="B23" s="24" t="s">
        <v>370</v>
      </c>
      <c r="C23" s="21" t="s">
        <v>371</v>
      </c>
      <c r="D23" s="21" t="s">
        <v>295</v>
      </c>
      <c r="E23" s="22">
        <v>43839</v>
      </c>
      <c r="F23" s="22">
        <v>45687</v>
      </c>
      <c r="G23" s="24" t="s">
        <v>290</v>
      </c>
      <c r="H23" s="21" t="s">
        <v>291</v>
      </c>
      <c r="I23" s="24" t="s">
        <v>372</v>
      </c>
    </row>
    <row r="24" spans="1:9" ht="331.2" hidden="1" x14ac:dyDescent="0.3">
      <c r="A24" s="24" t="s">
        <v>30</v>
      </c>
      <c r="B24" s="24" t="s">
        <v>373</v>
      </c>
      <c r="C24" s="21" t="s">
        <v>374</v>
      </c>
      <c r="D24" s="21" t="s">
        <v>295</v>
      </c>
      <c r="E24" s="23">
        <v>45258</v>
      </c>
      <c r="F24" s="22">
        <v>45847</v>
      </c>
      <c r="G24" s="24" t="s">
        <v>290</v>
      </c>
      <c r="H24" s="21" t="s">
        <v>296</v>
      </c>
      <c r="I24" s="24" t="s">
        <v>375</v>
      </c>
    </row>
    <row r="25" spans="1:9" ht="372.6" hidden="1" x14ac:dyDescent="0.3">
      <c r="A25" s="24" t="s">
        <v>30</v>
      </c>
      <c r="B25" s="24" t="s">
        <v>376</v>
      </c>
      <c r="C25" s="21" t="s">
        <v>377</v>
      </c>
      <c r="D25" s="21" t="s">
        <v>295</v>
      </c>
      <c r="E25" s="22">
        <v>45200</v>
      </c>
      <c r="F25" s="23">
        <v>47118</v>
      </c>
      <c r="G25" s="24" t="s">
        <v>290</v>
      </c>
      <c r="H25" s="21" t="s">
        <v>296</v>
      </c>
      <c r="I25" s="24" t="s">
        <v>378</v>
      </c>
    </row>
    <row r="26" spans="1:9" ht="289.8" hidden="1" x14ac:dyDescent="0.3">
      <c r="A26" s="24" t="s">
        <v>30</v>
      </c>
      <c r="B26" s="24" t="s">
        <v>379</v>
      </c>
      <c r="C26" s="21" t="s">
        <v>380</v>
      </c>
      <c r="D26" s="21" t="s">
        <v>295</v>
      </c>
      <c r="E26" s="22">
        <v>44743</v>
      </c>
      <c r="F26" s="22">
        <v>45716</v>
      </c>
      <c r="G26" s="24" t="s">
        <v>290</v>
      </c>
      <c r="H26" s="21" t="s">
        <v>296</v>
      </c>
      <c r="I26" s="24" t="s">
        <v>381</v>
      </c>
    </row>
    <row r="27" spans="1:9" ht="55.2" hidden="1" x14ac:dyDescent="0.3">
      <c r="A27" s="24" t="s">
        <v>30</v>
      </c>
      <c r="B27" s="24" t="s">
        <v>382</v>
      </c>
      <c r="C27" s="21" t="s">
        <v>383</v>
      </c>
      <c r="D27" s="21" t="s">
        <v>295</v>
      </c>
      <c r="E27" s="22">
        <v>45323</v>
      </c>
      <c r="F27" s="22">
        <v>46053</v>
      </c>
      <c r="G27" s="24" t="s">
        <v>290</v>
      </c>
      <c r="H27" s="21" t="s">
        <v>296</v>
      </c>
      <c r="I27" s="24" t="s">
        <v>384</v>
      </c>
    </row>
    <row r="28" spans="1:9" ht="110.4" hidden="1" x14ac:dyDescent="0.3">
      <c r="A28" s="24" t="s">
        <v>30</v>
      </c>
      <c r="B28" s="24" t="s">
        <v>385</v>
      </c>
      <c r="C28" s="21" t="s">
        <v>386</v>
      </c>
      <c r="D28" s="21" t="s">
        <v>295</v>
      </c>
      <c r="E28" s="22">
        <v>44252</v>
      </c>
      <c r="F28" s="22">
        <v>45694</v>
      </c>
      <c r="G28" s="24" t="s">
        <v>290</v>
      </c>
      <c r="H28" s="21" t="s">
        <v>296</v>
      </c>
      <c r="I28" s="24" t="s">
        <v>387</v>
      </c>
    </row>
    <row r="29" spans="1:9" ht="262.2" hidden="1" x14ac:dyDescent="0.3">
      <c r="A29" s="24" t="s">
        <v>388</v>
      </c>
      <c r="B29" s="24" t="s">
        <v>389</v>
      </c>
      <c r="C29" s="21" t="s">
        <v>390</v>
      </c>
      <c r="D29" s="21" t="s">
        <v>358</v>
      </c>
      <c r="E29" s="22">
        <v>41456</v>
      </c>
      <c r="F29" s="23">
        <v>45657</v>
      </c>
      <c r="G29" s="24" t="s">
        <v>313</v>
      </c>
      <c r="H29" s="21" t="s">
        <v>291</v>
      </c>
      <c r="I29" s="24" t="s">
        <v>391</v>
      </c>
    </row>
    <row r="30" spans="1:9" ht="82.8" hidden="1" x14ac:dyDescent="0.3">
      <c r="A30" s="24" t="s">
        <v>105</v>
      </c>
      <c r="B30" s="24" t="s">
        <v>392</v>
      </c>
      <c r="C30" s="21" t="s">
        <v>393</v>
      </c>
      <c r="D30" s="21" t="s">
        <v>289</v>
      </c>
      <c r="E30" s="22">
        <v>44501</v>
      </c>
      <c r="F30" s="23">
        <v>46356</v>
      </c>
      <c r="G30" s="24" t="s">
        <v>290</v>
      </c>
      <c r="H30" s="21" t="s">
        <v>291</v>
      </c>
      <c r="I30" s="24" t="s">
        <v>394</v>
      </c>
    </row>
    <row r="31" spans="1:9" s="48" customFormat="1" ht="124.2" hidden="1" x14ac:dyDescent="0.3">
      <c r="A31" s="45" t="s">
        <v>395</v>
      </c>
      <c r="B31" s="45" t="s">
        <v>396</v>
      </c>
      <c r="C31" s="46" t="s">
        <v>854</v>
      </c>
      <c r="D31" s="46" t="s">
        <v>289</v>
      </c>
      <c r="E31" s="47">
        <v>44628</v>
      </c>
      <c r="F31" s="47">
        <v>45717</v>
      </c>
      <c r="G31" s="45" t="s">
        <v>855</v>
      </c>
      <c r="H31" s="46" t="s">
        <v>321</v>
      </c>
      <c r="I31" s="45" t="s">
        <v>398</v>
      </c>
    </row>
    <row r="32" spans="1:9" ht="55.2" hidden="1" x14ac:dyDescent="0.3">
      <c r="A32" s="24" t="s">
        <v>399</v>
      </c>
      <c r="B32" s="24" t="s">
        <v>400</v>
      </c>
      <c r="C32" s="21" t="s">
        <v>401</v>
      </c>
      <c r="D32" s="21" t="s">
        <v>289</v>
      </c>
      <c r="E32" s="22">
        <v>45183</v>
      </c>
      <c r="F32" s="22">
        <v>46265</v>
      </c>
      <c r="G32" s="24" t="s">
        <v>290</v>
      </c>
      <c r="H32" s="21" t="s">
        <v>324</v>
      </c>
      <c r="I32" s="24" t="s">
        <v>402</v>
      </c>
    </row>
    <row r="33" spans="1:9" ht="124.2" hidden="1" x14ac:dyDescent="0.3">
      <c r="A33" s="24" t="s">
        <v>108</v>
      </c>
      <c r="B33" s="24" t="s">
        <v>406</v>
      </c>
      <c r="C33" s="21" t="s">
        <v>407</v>
      </c>
      <c r="D33" s="21" t="s">
        <v>358</v>
      </c>
      <c r="E33" s="22">
        <v>44927</v>
      </c>
      <c r="F33" s="23">
        <v>46022</v>
      </c>
      <c r="G33" s="24" t="s">
        <v>290</v>
      </c>
      <c r="H33" s="21" t="s">
        <v>321</v>
      </c>
      <c r="I33" s="24" t="s">
        <v>408</v>
      </c>
    </row>
    <row r="34" spans="1:9" ht="165.6" hidden="1" x14ac:dyDescent="0.3">
      <c r="A34" s="45" t="s">
        <v>108</v>
      </c>
      <c r="B34" s="45" t="s">
        <v>457</v>
      </c>
      <c r="C34" s="46" t="s">
        <v>458</v>
      </c>
      <c r="D34" s="46" t="s">
        <v>289</v>
      </c>
      <c r="E34" s="47">
        <v>43556</v>
      </c>
      <c r="F34" s="47">
        <v>45688</v>
      </c>
      <c r="G34" s="45" t="s">
        <v>290</v>
      </c>
      <c r="H34" s="46" t="s">
        <v>321</v>
      </c>
      <c r="I34" s="45" t="s">
        <v>459</v>
      </c>
    </row>
    <row r="35" spans="1:9" s="48" customFormat="1" ht="69" hidden="1" x14ac:dyDescent="0.3">
      <c r="A35" s="45" t="s">
        <v>108</v>
      </c>
      <c r="B35" s="45" t="s">
        <v>544</v>
      </c>
      <c r="C35" s="46" t="s">
        <v>545</v>
      </c>
      <c r="D35" s="46" t="s">
        <v>289</v>
      </c>
      <c r="E35" s="47">
        <v>45078</v>
      </c>
      <c r="F35" s="47">
        <v>45808</v>
      </c>
      <c r="G35" s="45" t="s">
        <v>855</v>
      </c>
      <c r="H35" s="46" t="s">
        <v>321</v>
      </c>
      <c r="I35" s="45" t="s">
        <v>546</v>
      </c>
    </row>
    <row r="36" spans="1:9" ht="41.4" hidden="1" x14ac:dyDescent="0.3">
      <c r="A36" s="24" t="s">
        <v>413</v>
      </c>
      <c r="B36" s="24" t="s">
        <v>414</v>
      </c>
      <c r="C36" s="21" t="s">
        <v>415</v>
      </c>
      <c r="D36" s="21" t="s">
        <v>289</v>
      </c>
      <c r="E36" s="22">
        <v>44927</v>
      </c>
      <c r="F36" s="23">
        <v>46022</v>
      </c>
      <c r="G36" s="24" t="s">
        <v>290</v>
      </c>
      <c r="H36" s="21" t="s">
        <v>291</v>
      </c>
      <c r="I36" s="24" t="s">
        <v>416</v>
      </c>
    </row>
    <row r="37" spans="1:9" ht="179.4" hidden="1" x14ac:dyDescent="0.3">
      <c r="A37" s="24" t="s">
        <v>413</v>
      </c>
      <c r="B37" s="24" t="s">
        <v>417</v>
      </c>
      <c r="C37" s="21" t="s">
        <v>415</v>
      </c>
      <c r="D37" s="21" t="s">
        <v>358</v>
      </c>
      <c r="E37" s="22">
        <v>44927</v>
      </c>
      <c r="F37" s="23">
        <v>45657</v>
      </c>
      <c r="G37" s="24" t="s">
        <v>313</v>
      </c>
      <c r="H37" s="21" t="s">
        <v>291</v>
      </c>
      <c r="I37" s="24" t="s">
        <v>418</v>
      </c>
    </row>
    <row r="38" spans="1:9" ht="55.2" hidden="1" x14ac:dyDescent="0.3">
      <c r="A38" s="24" t="s">
        <v>413</v>
      </c>
      <c r="B38" s="24" t="s">
        <v>419</v>
      </c>
      <c r="C38" s="21" t="s">
        <v>420</v>
      </c>
      <c r="D38" s="21" t="s">
        <v>289</v>
      </c>
      <c r="E38" s="22">
        <v>44197</v>
      </c>
      <c r="F38" s="23">
        <v>45657</v>
      </c>
      <c r="G38" s="24" t="s">
        <v>313</v>
      </c>
      <c r="H38" s="21" t="s">
        <v>291</v>
      </c>
      <c r="I38" s="24" t="s">
        <v>421</v>
      </c>
    </row>
    <row r="39" spans="1:9" ht="96.6" hidden="1" x14ac:dyDescent="0.3">
      <c r="A39" s="24" t="s">
        <v>413</v>
      </c>
      <c r="B39" s="24" t="s">
        <v>422</v>
      </c>
      <c r="C39" s="21" t="s">
        <v>423</v>
      </c>
      <c r="D39" s="21" t="s">
        <v>358</v>
      </c>
      <c r="E39" s="22">
        <v>44958</v>
      </c>
      <c r="F39" s="22">
        <v>45689</v>
      </c>
      <c r="G39" s="24" t="s">
        <v>290</v>
      </c>
      <c r="H39" s="21" t="s">
        <v>296</v>
      </c>
      <c r="I39" s="24" t="s">
        <v>424</v>
      </c>
    </row>
    <row r="40" spans="1:9" ht="82.8" hidden="1" x14ac:dyDescent="0.3">
      <c r="A40" s="24" t="s">
        <v>413</v>
      </c>
      <c r="B40" s="24" t="s">
        <v>425</v>
      </c>
      <c r="C40" s="21">
        <v>4052.4128000000001</v>
      </c>
      <c r="D40" s="21" t="s">
        <v>295</v>
      </c>
      <c r="E40" s="22">
        <v>44287</v>
      </c>
      <c r="F40" s="22">
        <v>45747</v>
      </c>
      <c r="G40" s="24" t="s">
        <v>290</v>
      </c>
      <c r="H40" s="21" t="s">
        <v>296</v>
      </c>
      <c r="I40" s="24" t="s">
        <v>426</v>
      </c>
    </row>
    <row r="41" spans="1:9" ht="82.8" hidden="1" x14ac:dyDescent="0.3">
      <c r="A41" s="24" t="s">
        <v>413</v>
      </c>
      <c r="B41" s="24" t="s">
        <v>427</v>
      </c>
      <c r="C41" s="21" t="s">
        <v>428</v>
      </c>
      <c r="D41" s="21" t="s">
        <v>295</v>
      </c>
      <c r="E41" s="22">
        <v>44044</v>
      </c>
      <c r="F41" s="22">
        <v>46290</v>
      </c>
      <c r="G41" s="24" t="s">
        <v>290</v>
      </c>
      <c r="H41" s="21" t="s">
        <v>296</v>
      </c>
      <c r="I41" s="24" t="s">
        <v>429</v>
      </c>
    </row>
    <row r="42" spans="1:9" ht="69" hidden="1" x14ac:dyDescent="0.3">
      <c r="A42" s="24" t="s">
        <v>413</v>
      </c>
      <c r="B42" s="24" t="s">
        <v>430</v>
      </c>
      <c r="C42" s="21" t="s">
        <v>431</v>
      </c>
      <c r="D42" s="21" t="s">
        <v>358</v>
      </c>
      <c r="E42" s="22">
        <v>45134</v>
      </c>
      <c r="F42" s="22">
        <v>45900</v>
      </c>
      <c r="G42" s="24" t="s">
        <v>290</v>
      </c>
      <c r="H42" s="21" t="s">
        <v>296</v>
      </c>
      <c r="I42" s="24" t="s">
        <v>432</v>
      </c>
    </row>
    <row r="43" spans="1:9" ht="124.2" hidden="1" x14ac:dyDescent="0.3">
      <c r="A43" s="24" t="s">
        <v>413</v>
      </c>
      <c r="B43" s="24" t="s">
        <v>433</v>
      </c>
      <c r="C43" s="21" t="s">
        <v>434</v>
      </c>
      <c r="D43" s="21" t="s">
        <v>358</v>
      </c>
      <c r="E43" s="22">
        <v>44805</v>
      </c>
      <c r="F43" s="22">
        <v>45777</v>
      </c>
      <c r="G43" s="24" t="s">
        <v>290</v>
      </c>
      <c r="H43" s="21" t="s">
        <v>296</v>
      </c>
      <c r="I43" s="24" t="s">
        <v>435</v>
      </c>
    </row>
    <row r="44" spans="1:9" ht="82.8" hidden="1" x14ac:dyDescent="0.3">
      <c r="A44" s="24" t="s">
        <v>413</v>
      </c>
      <c r="B44" s="24" t="s">
        <v>436</v>
      </c>
      <c r="C44" s="21" t="s">
        <v>437</v>
      </c>
      <c r="D44" s="21" t="s">
        <v>358</v>
      </c>
      <c r="E44" s="22">
        <v>44532</v>
      </c>
      <c r="F44" s="23">
        <v>45961</v>
      </c>
      <c r="G44" s="24" t="s">
        <v>290</v>
      </c>
      <c r="H44" s="21" t="s">
        <v>296</v>
      </c>
      <c r="I44" s="24" t="s">
        <v>438</v>
      </c>
    </row>
    <row r="45" spans="1:9" ht="82.8" hidden="1" x14ac:dyDescent="0.3">
      <c r="A45" s="24" t="s">
        <v>108</v>
      </c>
      <c r="B45" s="24" t="s">
        <v>564</v>
      </c>
      <c r="C45" s="21" t="s">
        <v>404</v>
      </c>
      <c r="D45" s="21" t="s">
        <v>289</v>
      </c>
      <c r="E45" s="22">
        <v>45108</v>
      </c>
      <c r="F45" s="22">
        <v>46265</v>
      </c>
      <c r="G45" s="24" t="s">
        <v>290</v>
      </c>
      <c r="H45" s="21" t="s">
        <v>321</v>
      </c>
      <c r="I45" s="24" t="s">
        <v>405</v>
      </c>
    </row>
    <row r="46" spans="1:9" ht="124.2" hidden="1" x14ac:dyDescent="0.3">
      <c r="A46" s="24" t="s">
        <v>108</v>
      </c>
      <c r="B46" s="24" t="s">
        <v>565</v>
      </c>
      <c r="C46" s="21" t="s">
        <v>407</v>
      </c>
      <c r="D46" s="21" t="s">
        <v>358</v>
      </c>
      <c r="E46" s="22">
        <v>44927</v>
      </c>
      <c r="F46" s="23">
        <v>46022</v>
      </c>
      <c r="G46" s="24" t="s">
        <v>290</v>
      </c>
      <c r="H46" s="21" t="s">
        <v>321</v>
      </c>
      <c r="I46" s="24" t="s">
        <v>408</v>
      </c>
    </row>
    <row r="47" spans="1:9" ht="55.2" hidden="1" x14ac:dyDescent="0.3">
      <c r="A47" s="24" t="s">
        <v>445</v>
      </c>
      <c r="B47" s="24" t="s">
        <v>446</v>
      </c>
      <c r="C47" s="21" t="s">
        <v>447</v>
      </c>
      <c r="D47" s="21" t="s">
        <v>295</v>
      </c>
      <c r="E47" s="22">
        <v>45198</v>
      </c>
      <c r="F47" s="22">
        <v>45836</v>
      </c>
      <c r="G47" s="24" t="s">
        <v>290</v>
      </c>
      <c r="H47" s="21" t="s">
        <v>363</v>
      </c>
      <c r="I47" s="24" t="s">
        <v>448</v>
      </c>
    </row>
    <row r="48" spans="1:9" ht="165.6" hidden="1" x14ac:dyDescent="0.3">
      <c r="A48" s="24" t="s">
        <v>449</v>
      </c>
      <c r="B48" s="24" t="s">
        <v>450</v>
      </c>
      <c r="C48" s="21" t="s">
        <v>451</v>
      </c>
      <c r="D48" s="21" t="s">
        <v>295</v>
      </c>
      <c r="E48" s="22">
        <v>45125</v>
      </c>
      <c r="F48" s="22">
        <v>46234</v>
      </c>
      <c r="G48" s="24" t="s">
        <v>290</v>
      </c>
      <c r="H48" s="21" t="s">
        <v>296</v>
      </c>
      <c r="I48" s="24" t="s">
        <v>452</v>
      </c>
    </row>
    <row r="49" spans="1:9" ht="27.6" hidden="1" x14ac:dyDescent="0.3">
      <c r="A49" s="24" t="s">
        <v>453</v>
      </c>
      <c r="B49" s="24" t="s">
        <v>454</v>
      </c>
      <c r="C49" s="21" t="s">
        <v>455</v>
      </c>
      <c r="D49" s="21" t="s">
        <v>295</v>
      </c>
      <c r="E49" s="22">
        <v>44866</v>
      </c>
      <c r="F49" s="22">
        <v>45788</v>
      </c>
      <c r="G49" s="24" t="s">
        <v>290</v>
      </c>
      <c r="H49" s="21" t="s">
        <v>296</v>
      </c>
      <c r="I49" s="24" t="s">
        <v>456</v>
      </c>
    </row>
    <row r="50" spans="1:9" s="48" customFormat="1" ht="124.2" hidden="1" x14ac:dyDescent="0.3">
      <c r="A50" s="24" t="s">
        <v>108</v>
      </c>
      <c r="B50" s="24" t="s">
        <v>579</v>
      </c>
      <c r="C50" s="21" t="s">
        <v>407</v>
      </c>
      <c r="D50" s="21" t="s">
        <v>358</v>
      </c>
      <c r="E50" s="22">
        <v>44927</v>
      </c>
      <c r="F50" s="23">
        <v>46022</v>
      </c>
      <c r="G50" s="24" t="s">
        <v>290</v>
      </c>
      <c r="H50" s="21" t="s">
        <v>321</v>
      </c>
      <c r="I50" s="24" t="s">
        <v>408</v>
      </c>
    </row>
    <row r="51" spans="1:9" ht="27.6" hidden="1" x14ac:dyDescent="0.3">
      <c r="A51" s="24" t="s">
        <v>277</v>
      </c>
      <c r="B51" s="24" t="s">
        <v>460</v>
      </c>
      <c r="C51" s="21" t="s">
        <v>461</v>
      </c>
      <c r="D51" s="21" t="s">
        <v>289</v>
      </c>
      <c r="E51" s="22">
        <v>44197</v>
      </c>
      <c r="F51" s="23">
        <v>45657</v>
      </c>
      <c r="G51" s="24" t="s">
        <v>313</v>
      </c>
      <c r="H51" s="21" t="s">
        <v>291</v>
      </c>
      <c r="I51" s="24" t="s">
        <v>462</v>
      </c>
    </row>
    <row r="52" spans="1:9" ht="82.8" hidden="1" x14ac:dyDescent="0.3">
      <c r="A52" s="24" t="s">
        <v>413</v>
      </c>
      <c r="B52" s="24" t="s">
        <v>439</v>
      </c>
      <c r="C52" s="21" t="s">
        <v>440</v>
      </c>
      <c r="D52" s="21" t="s">
        <v>295</v>
      </c>
      <c r="E52" s="23">
        <v>45251</v>
      </c>
      <c r="F52" s="23">
        <v>45981</v>
      </c>
      <c r="G52" s="24" t="s">
        <v>290</v>
      </c>
      <c r="H52" s="21" t="s">
        <v>321</v>
      </c>
      <c r="I52" s="24" t="s">
        <v>441</v>
      </c>
    </row>
    <row r="53" spans="1:9" ht="55.2" hidden="1" x14ac:dyDescent="0.3">
      <c r="A53" s="24" t="s">
        <v>465</v>
      </c>
      <c r="B53" s="24" t="s">
        <v>466</v>
      </c>
      <c r="C53" s="21" t="s">
        <v>467</v>
      </c>
      <c r="D53" s="21" t="s">
        <v>289</v>
      </c>
      <c r="E53" s="22">
        <v>44501</v>
      </c>
      <c r="F53" s="22">
        <v>45565</v>
      </c>
      <c r="G53" s="24" t="s">
        <v>313</v>
      </c>
      <c r="H53" s="21" t="s">
        <v>291</v>
      </c>
      <c r="I53" s="24" t="s">
        <v>468</v>
      </c>
    </row>
    <row r="54" spans="1:9" ht="69" hidden="1" x14ac:dyDescent="0.3">
      <c r="A54" s="24" t="s">
        <v>121</v>
      </c>
      <c r="B54" s="24" t="s">
        <v>469</v>
      </c>
      <c r="C54" s="21" t="s">
        <v>470</v>
      </c>
      <c r="D54" s="21" t="s">
        <v>295</v>
      </c>
      <c r="E54" s="22">
        <v>44967</v>
      </c>
      <c r="F54" s="23">
        <v>46022</v>
      </c>
      <c r="G54" s="24" t="s">
        <v>290</v>
      </c>
      <c r="H54" s="21" t="s">
        <v>471</v>
      </c>
      <c r="I54" s="24" t="s">
        <v>472</v>
      </c>
    </row>
    <row r="55" spans="1:9" ht="41.4" hidden="1" x14ac:dyDescent="0.3">
      <c r="A55" s="24" t="s">
        <v>473</v>
      </c>
      <c r="B55" s="24" t="s">
        <v>474</v>
      </c>
      <c r="C55" s="21" t="s">
        <v>475</v>
      </c>
      <c r="D55" s="21" t="s">
        <v>295</v>
      </c>
      <c r="E55" s="22">
        <v>42881</v>
      </c>
      <c r="F55" s="22">
        <v>46112</v>
      </c>
      <c r="G55" s="24" t="s">
        <v>290</v>
      </c>
      <c r="H55" s="21" t="s">
        <v>296</v>
      </c>
      <c r="I55" s="24" t="s">
        <v>476</v>
      </c>
    </row>
    <row r="56" spans="1:9" s="48" customFormat="1" ht="96.6" hidden="1" x14ac:dyDescent="0.3">
      <c r="A56" s="45" t="s">
        <v>477</v>
      </c>
      <c r="B56" s="45" t="s">
        <v>478</v>
      </c>
      <c r="C56" s="46" t="s">
        <v>479</v>
      </c>
      <c r="D56" s="46" t="s">
        <v>289</v>
      </c>
      <c r="E56" s="47">
        <v>45200</v>
      </c>
      <c r="F56" s="47">
        <v>45565</v>
      </c>
      <c r="G56" s="45" t="s">
        <v>313</v>
      </c>
      <c r="H56" s="46" t="s">
        <v>321</v>
      </c>
      <c r="I56" s="45" t="s">
        <v>480</v>
      </c>
    </row>
    <row r="57" spans="1:9" ht="41.4" hidden="1" x14ac:dyDescent="0.3">
      <c r="A57" s="24" t="s">
        <v>481</v>
      </c>
      <c r="B57" s="24" t="s">
        <v>482</v>
      </c>
      <c r="C57" s="21" t="s">
        <v>483</v>
      </c>
      <c r="D57" s="21" t="s">
        <v>289</v>
      </c>
      <c r="E57" s="22">
        <v>45422</v>
      </c>
      <c r="F57" s="22">
        <v>47238</v>
      </c>
      <c r="G57" s="24" t="s">
        <v>290</v>
      </c>
      <c r="H57" s="21" t="s">
        <v>484</v>
      </c>
      <c r="I57" s="24" t="s">
        <v>485</v>
      </c>
    </row>
    <row r="58" spans="1:9" s="48" customFormat="1" ht="55.2" hidden="1" x14ac:dyDescent="0.3">
      <c r="A58" s="45" t="s">
        <v>486</v>
      </c>
      <c r="B58" s="45" t="s">
        <v>487</v>
      </c>
      <c r="C58" s="46" t="s">
        <v>488</v>
      </c>
      <c r="D58" s="46" t="s">
        <v>289</v>
      </c>
      <c r="E58" s="47">
        <v>45047</v>
      </c>
      <c r="F58" s="49">
        <v>45657</v>
      </c>
      <c r="G58" s="45" t="s">
        <v>313</v>
      </c>
      <c r="H58" s="46" t="s">
        <v>321</v>
      </c>
      <c r="I58" s="45" t="s">
        <v>489</v>
      </c>
    </row>
    <row r="59" spans="1:9" ht="110.4" hidden="1" x14ac:dyDescent="0.3">
      <c r="A59" s="24" t="s">
        <v>131</v>
      </c>
      <c r="B59" s="24" t="s">
        <v>490</v>
      </c>
      <c r="C59" s="21" t="s">
        <v>491</v>
      </c>
      <c r="D59" s="21" t="s">
        <v>289</v>
      </c>
      <c r="E59" s="23">
        <v>43455</v>
      </c>
      <c r="F59" s="23">
        <v>46011</v>
      </c>
      <c r="G59" s="24" t="s">
        <v>290</v>
      </c>
      <c r="H59" s="21" t="s">
        <v>291</v>
      </c>
      <c r="I59" s="24" t="s">
        <v>492</v>
      </c>
    </row>
    <row r="60" spans="1:9" ht="193.2" hidden="1" x14ac:dyDescent="0.3">
      <c r="A60" s="24" t="s">
        <v>442</v>
      </c>
      <c r="B60" s="24" t="s">
        <v>443</v>
      </c>
      <c r="C60" s="21" t="s">
        <v>283</v>
      </c>
      <c r="D60" s="21" t="s">
        <v>295</v>
      </c>
      <c r="E60" s="22">
        <v>41108</v>
      </c>
      <c r="F60" s="22">
        <v>46203</v>
      </c>
      <c r="G60" s="24" t="s">
        <v>290</v>
      </c>
      <c r="H60" s="21" t="s">
        <v>321</v>
      </c>
      <c r="I60" s="24" t="s">
        <v>444</v>
      </c>
    </row>
    <row r="61" spans="1:9" ht="82.8" hidden="1" x14ac:dyDescent="0.3">
      <c r="A61" s="24" t="s">
        <v>496</v>
      </c>
      <c r="B61" s="24" t="s">
        <v>497</v>
      </c>
      <c r="C61" s="21" t="s">
        <v>498</v>
      </c>
      <c r="D61" s="21" t="s">
        <v>295</v>
      </c>
      <c r="E61" s="22">
        <v>45002</v>
      </c>
      <c r="F61" s="22">
        <v>46098</v>
      </c>
      <c r="G61" s="24" t="s">
        <v>290</v>
      </c>
      <c r="H61" s="21" t="s">
        <v>471</v>
      </c>
      <c r="I61" s="24" t="s">
        <v>499</v>
      </c>
    </row>
    <row r="62" spans="1:9" ht="82.8" hidden="1" x14ac:dyDescent="0.3">
      <c r="A62" s="24" t="s">
        <v>146</v>
      </c>
      <c r="B62" s="24" t="s">
        <v>463</v>
      </c>
      <c r="C62" s="21" t="s">
        <v>464</v>
      </c>
      <c r="D62" s="21" t="s">
        <v>289</v>
      </c>
      <c r="E62" s="22">
        <v>45047</v>
      </c>
      <c r="F62" s="22">
        <v>46507</v>
      </c>
      <c r="G62" s="24" t="s">
        <v>290</v>
      </c>
      <c r="H62" s="21" t="s">
        <v>321</v>
      </c>
      <c r="I62" s="24" t="s">
        <v>856</v>
      </c>
    </row>
    <row r="63" spans="1:9" ht="234.6" hidden="1" x14ac:dyDescent="0.3">
      <c r="A63" s="24" t="s">
        <v>500</v>
      </c>
      <c r="B63" s="24" t="s">
        <v>501</v>
      </c>
      <c r="C63" s="21" t="s">
        <v>502</v>
      </c>
      <c r="D63" s="21" t="s">
        <v>295</v>
      </c>
      <c r="E63" s="22">
        <v>44699</v>
      </c>
      <c r="F63" s="22">
        <v>46524</v>
      </c>
      <c r="G63" s="24" t="s">
        <v>290</v>
      </c>
      <c r="H63" s="21" t="s">
        <v>321</v>
      </c>
      <c r="I63" s="24" t="s">
        <v>503</v>
      </c>
    </row>
    <row r="64" spans="1:9" ht="138" hidden="1" x14ac:dyDescent="0.3">
      <c r="A64" s="24" t="s">
        <v>500</v>
      </c>
      <c r="B64" s="24" t="s">
        <v>504</v>
      </c>
      <c r="C64" s="21" t="s">
        <v>502</v>
      </c>
      <c r="D64" s="21" t="s">
        <v>289</v>
      </c>
      <c r="E64" s="22">
        <v>44699</v>
      </c>
      <c r="F64" s="22">
        <v>46524</v>
      </c>
      <c r="G64" s="24" t="s">
        <v>290</v>
      </c>
      <c r="H64" s="21" t="s">
        <v>321</v>
      </c>
      <c r="I64" s="24" t="s">
        <v>505</v>
      </c>
    </row>
    <row r="65" spans="1:9" hidden="1" x14ac:dyDescent="0.3">
      <c r="A65" s="24" t="s">
        <v>500</v>
      </c>
      <c r="B65" s="24" t="s">
        <v>506</v>
      </c>
      <c r="C65" s="21" t="s">
        <v>507</v>
      </c>
      <c r="D65" s="21" t="s">
        <v>295</v>
      </c>
      <c r="E65" s="22">
        <v>45170</v>
      </c>
      <c r="F65" s="23">
        <v>46022</v>
      </c>
      <c r="G65" s="24" t="s">
        <v>290</v>
      </c>
      <c r="H65" s="21" t="s">
        <v>321</v>
      </c>
      <c r="I65" s="24" t="s">
        <v>508</v>
      </c>
    </row>
    <row r="66" spans="1:9" ht="179.4" hidden="1" x14ac:dyDescent="0.3">
      <c r="A66" s="24" t="s">
        <v>500</v>
      </c>
      <c r="B66" s="24" t="s">
        <v>509</v>
      </c>
      <c r="C66" s="21" t="s">
        <v>510</v>
      </c>
      <c r="D66" s="21" t="s">
        <v>295</v>
      </c>
      <c r="E66" s="22">
        <v>45002</v>
      </c>
      <c r="F66" s="22">
        <v>45930</v>
      </c>
      <c r="G66" s="24" t="s">
        <v>290</v>
      </c>
      <c r="H66" s="21" t="s">
        <v>321</v>
      </c>
      <c r="I66" s="24" t="s">
        <v>511</v>
      </c>
    </row>
    <row r="67" spans="1:9" ht="27.6" hidden="1" x14ac:dyDescent="0.3">
      <c r="A67" s="24" t="s">
        <v>500</v>
      </c>
      <c r="B67" s="24" t="s">
        <v>512</v>
      </c>
      <c r="C67" s="21" t="s">
        <v>513</v>
      </c>
      <c r="D67" s="21" t="s">
        <v>295</v>
      </c>
      <c r="E67" s="22">
        <v>44508</v>
      </c>
      <c r="F67" s="23">
        <v>46022</v>
      </c>
      <c r="G67" s="24" t="s">
        <v>290</v>
      </c>
      <c r="H67" s="21" t="s">
        <v>321</v>
      </c>
      <c r="I67" s="24" t="s">
        <v>514</v>
      </c>
    </row>
    <row r="68" spans="1:9" ht="151.80000000000001" hidden="1" x14ac:dyDescent="0.3">
      <c r="A68" s="24" t="s">
        <v>17</v>
      </c>
      <c r="B68" s="24" t="s">
        <v>518</v>
      </c>
      <c r="C68" s="21" t="s">
        <v>519</v>
      </c>
      <c r="D68" s="21" t="s">
        <v>289</v>
      </c>
      <c r="E68" s="23">
        <v>41992</v>
      </c>
      <c r="F68" s="23">
        <v>45657</v>
      </c>
      <c r="G68" s="24" t="s">
        <v>313</v>
      </c>
      <c r="H68" s="21" t="s">
        <v>291</v>
      </c>
      <c r="I68" s="24" t="s">
        <v>520</v>
      </c>
    </row>
    <row r="69" spans="1:9" ht="331.2" x14ac:dyDescent="0.3">
      <c r="A69" s="24" t="s">
        <v>17</v>
      </c>
      <c r="B69" s="24" t="s">
        <v>521</v>
      </c>
      <c r="C69" s="21" t="s">
        <v>522</v>
      </c>
      <c r="D69" s="21" t="s">
        <v>358</v>
      </c>
      <c r="E69" s="22">
        <v>44378</v>
      </c>
      <c r="F69" s="22">
        <v>46599</v>
      </c>
      <c r="G69" s="24" t="s">
        <v>290</v>
      </c>
      <c r="H69" s="21" t="s">
        <v>291</v>
      </c>
      <c r="I69" s="24" t="s">
        <v>523</v>
      </c>
    </row>
    <row r="70" spans="1:9" ht="41.4" hidden="1" x14ac:dyDescent="0.3">
      <c r="A70" s="24" t="s">
        <v>524</v>
      </c>
      <c r="B70" s="24" t="s">
        <v>525</v>
      </c>
      <c r="C70" s="21" t="s">
        <v>526</v>
      </c>
      <c r="D70" s="21" t="s">
        <v>295</v>
      </c>
      <c r="E70" s="22">
        <v>43617</v>
      </c>
      <c r="F70" s="23">
        <v>46022</v>
      </c>
      <c r="G70" s="24" t="s">
        <v>290</v>
      </c>
      <c r="H70" s="21" t="s">
        <v>363</v>
      </c>
      <c r="I70" s="24" t="s">
        <v>527</v>
      </c>
    </row>
    <row r="71" spans="1:9" ht="220.8" hidden="1" x14ac:dyDescent="0.3">
      <c r="A71" s="24" t="s">
        <v>4</v>
      </c>
      <c r="B71" s="24" t="s">
        <v>528</v>
      </c>
      <c r="C71" s="21" t="s">
        <v>529</v>
      </c>
      <c r="D71" s="21" t="s">
        <v>295</v>
      </c>
      <c r="E71" s="22">
        <v>42423</v>
      </c>
      <c r="F71" s="22">
        <v>45716</v>
      </c>
      <c r="G71" s="24" t="s">
        <v>290</v>
      </c>
      <c r="H71" s="21" t="s">
        <v>296</v>
      </c>
      <c r="I71" s="24" t="s">
        <v>530</v>
      </c>
    </row>
    <row r="72" spans="1:9" ht="110.4" hidden="1" x14ac:dyDescent="0.3">
      <c r="A72" s="24" t="s">
        <v>531</v>
      </c>
      <c r="B72" s="24" t="s">
        <v>532</v>
      </c>
      <c r="C72" s="21" t="s">
        <v>533</v>
      </c>
      <c r="D72" s="21" t="s">
        <v>289</v>
      </c>
      <c r="E72" s="22">
        <v>44929</v>
      </c>
      <c r="F72" s="22">
        <v>45660</v>
      </c>
      <c r="G72" s="24" t="s">
        <v>313</v>
      </c>
      <c r="H72" s="21" t="s">
        <v>321</v>
      </c>
      <c r="I72" s="24" t="s">
        <v>534</v>
      </c>
    </row>
    <row r="73" spans="1:9" ht="124.2" hidden="1" x14ac:dyDescent="0.3">
      <c r="A73" s="24" t="s">
        <v>535</v>
      </c>
      <c r="B73" s="24" t="s">
        <v>536</v>
      </c>
      <c r="C73" s="21" t="s">
        <v>537</v>
      </c>
      <c r="D73" s="21" t="s">
        <v>289</v>
      </c>
      <c r="E73" s="22">
        <v>44682</v>
      </c>
      <c r="F73" s="22">
        <v>45777</v>
      </c>
      <c r="G73" s="24" t="s">
        <v>290</v>
      </c>
      <c r="H73" s="21" t="s">
        <v>471</v>
      </c>
      <c r="I73" s="24" t="s">
        <v>538</v>
      </c>
    </row>
    <row r="74" spans="1:9" ht="69" hidden="1" x14ac:dyDescent="0.3">
      <c r="A74" s="24" t="s">
        <v>500</v>
      </c>
      <c r="B74" s="24" t="s">
        <v>515</v>
      </c>
      <c r="C74" s="21" t="s">
        <v>516</v>
      </c>
      <c r="D74" s="21" t="s">
        <v>295</v>
      </c>
      <c r="E74" s="22">
        <v>45658</v>
      </c>
      <c r="F74" s="22">
        <v>47269</v>
      </c>
      <c r="G74" s="24" t="s">
        <v>290</v>
      </c>
      <c r="H74" s="21" t="s">
        <v>321</v>
      </c>
      <c r="I74" s="24" t="s">
        <v>517</v>
      </c>
    </row>
    <row r="75" spans="1:9" ht="69" hidden="1" x14ac:dyDescent="0.3">
      <c r="A75" s="24" t="s">
        <v>105</v>
      </c>
      <c r="B75" s="24" t="s">
        <v>542</v>
      </c>
      <c r="C75" s="21" t="s">
        <v>393</v>
      </c>
      <c r="D75" s="21" t="s">
        <v>295</v>
      </c>
      <c r="E75" s="22">
        <v>44505</v>
      </c>
      <c r="F75" s="23">
        <v>46356</v>
      </c>
      <c r="G75" s="24" t="s">
        <v>290</v>
      </c>
      <c r="H75" s="21" t="s">
        <v>291</v>
      </c>
      <c r="I75" s="24" t="s">
        <v>543</v>
      </c>
    </row>
    <row r="76" spans="1:9" ht="234.6" hidden="1" x14ac:dyDescent="0.3">
      <c r="A76" s="24" t="s">
        <v>500</v>
      </c>
      <c r="B76" s="24" t="s">
        <v>572</v>
      </c>
      <c r="C76" s="21" t="s">
        <v>502</v>
      </c>
      <c r="D76" s="21" t="s">
        <v>289</v>
      </c>
      <c r="E76" s="22">
        <v>44699</v>
      </c>
      <c r="F76" s="22">
        <v>46524</v>
      </c>
      <c r="G76" s="24" t="s">
        <v>290</v>
      </c>
      <c r="H76" s="21" t="s">
        <v>321</v>
      </c>
      <c r="I76" s="24" t="s">
        <v>503</v>
      </c>
    </row>
    <row r="77" spans="1:9" ht="27.6" hidden="1" x14ac:dyDescent="0.3">
      <c r="A77" s="24" t="s">
        <v>547</v>
      </c>
      <c r="B77" s="24" t="s">
        <v>548</v>
      </c>
      <c r="C77" s="21" t="s">
        <v>549</v>
      </c>
      <c r="D77" s="21" t="s">
        <v>289</v>
      </c>
      <c r="E77" s="22">
        <v>45468</v>
      </c>
      <c r="F77" s="22">
        <v>45838</v>
      </c>
      <c r="G77" s="24" t="s">
        <v>290</v>
      </c>
      <c r="H77" s="21" t="s">
        <v>324</v>
      </c>
      <c r="I77" s="24" t="s">
        <v>550</v>
      </c>
    </row>
    <row r="78" spans="1:9" ht="372.6" hidden="1" x14ac:dyDescent="0.3">
      <c r="A78" s="24" t="s">
        <v>30</v>
      </c>
      <c r="B78" s="24" t="s">
        <v>551</v>
      </c>
      <c r="C78" s="21" t="s">
        <v>377</v>
      </c>
      <c r="D78" s="21" t="s">
        <v>295</v>
      </c>
      <c r="E78" s="22">
        <v>45200</v>
      </c>
      <c r="F78" s="23">
        <v>47118</v>
      </c>
      <c r="G78" s="24" t="s">
        <v>290</v>
      </c>
      <c r="H78" s="21" t="s">
        <v>296</v>
      </c>
      <c r="I78" s="24" t="s">
        <v>378</v>
      </c>
    </row>
    <row r="79" spans="1:9" ht="409.6" hidden="1" x14ac:dyDescent="0.3">
      <c r="A79" s="24" t="s">
        <v>552</v>
      </c>
      <c r="B79" s="24" t="s">
        <v>553</v>
      </c>
      <c r="C79" s="21">
        <v>161</v>
      </c>
      <c r="D79" s="21" t="s">
        <v>289</v>
      </c>
      <c r="E79" s="22">
        <v>45296</v>
      </c>
      <c r="F79" s="22">
        <v>46391</v>
      </c>
      <c r="G79" s="24" t="s">
        <v>290</v>
      </c>
      <c r="H79" s="21" t="s">
        <v>328</v>
      </c>
      <c r="I79" s="24" t="s">
        <v>554</v>
      </c>
    </row>
    <row r="80" spans="1:9" ht="234.6" hidden="1" x14ac:dyDescent="0.3">
      <c r="A80" s="24" t="s">
        <v>500</v>
      </c>
      <c r="B80" s="24" t="s">
        <v>573</v>
      </c>
      <c r="C80" s="21" t="s">
        <v>502</v>
      </c>
      <c r="D80" s="21" t="s">
        <v>289</v>
      </c>
      <c r="E80" s="22">
        <v>44699</v>
      </c>
      <c r="F80" s="22">
        <v>46524</v>
      </c>
      <c r="G80" s="24" t="s">
        <v>290</v>
      </c>
      <c r="H80" s="21" t="s">
        <v>321</v>
      </c>
      <c r="I80" s="24" t="s">
        <v>503</v>
      </c>
    </row>
    <row r="81" spans="1:9" ht="110.4" hidden="1" x14ac:dyDescent="0.3">
      <c r="A81" s="24" t="s">
        <v>30</v>
      </c>
      <c r="B81" s="24" t="s">
        <v>558</v>
      </c>
      <c r="C81" s="21" t="s">
        <v>386</v>
      </c>
      <c r="D81" s="21" t="s">
        <v>295</v>
      </c>
      <c r="E81" s="22">
        <v>44252</v>
      </c>
      <c r="F81" s="22">
        <v>45694</v>
      </c>
      <c r="G81" s="24" t="s">
        <v>290</v>
      </c>
      <c r="H81" s="21" t="s">
        <v>296</v>
      </c>
      <c r="I81" s="24" t="s">
        <v>387</v>
      </c>
    </row>
    <row r="82" spans="1:9" ht="289.8" hidden="1" x14ac:dyDescent="0.3">
      <c r="A82" s="24" t="s">
        <v>30</v>
      </c>
      <c r="B82" s="24" t="s">
        <v>559</v>
      </c>
      <c r="C82" s="21" t="s">
        <v>380</v>
      </c>
      <c r="D82" s="21" t="s">
        <v>295</v>
      </c>
      <c r="E82" s="22">
        <v>44743</v>
      </c>
      <c r="F82" s="22">
        <v>45716</v>
      </c>
      <c r="G82" s="24" t="s">
        <v>290</v>
      </c>
      <c r="H82" s="21" t="s">
        <v>296</v>
      </c>
      <c r="I82" s="24" t="s">
        <v>381</v>
      </c>
    </row>
    <row r="83" spans="1:9" ht="289.8" hidden="1" x14ac:dyDescent="0.3">
      <c r="A83" s="24" t="s">
        <v>30</v>
      </c>
      <c r="B83" s="24" t="s">
        <v>560</v>
      </c>
      <c r="C83" s="21" t="s">
        <v>380</v>
      </c>
      <c r="D83" s="21" t="s">
        <v>295</v>
      </c>
      <c r="E83" s="22">
        <v>44743</v>
      </c>
      <c r="F83" s="22">
        <v>45716</v>
      </c>
      <c r="G83" s="24" t="s">
        <v>290</v>
      </c>
      <c r="H83" s="21" t="s">
        <v>296</v>
      </c>
      <c r="I83" s="24" t="s">
        <v>381</v>
      </c>
    </row>
    <row r="84" spans="1:9" ht="289.8" hidden="1" x14ac:dyDescent="0.3">
      <c r="A84" s="24" t="s">
        <v>30</v>
      </c>
      <c r="B84" s="24" t="s">
        <v>561</v>
      </c>
      <c r="C84" s="21" t="s">
        <v>380</v>
      </c>
      <c r="D84" s="21" t="s">
        <v>295</v>
      </c>
      <c r="E84" s="22">
        <v>44743</v>
      </c>
      <c r="F84" s="22">
        <v>45716</v>
      </c>
      <c r="G84" s="24" t="s">
        <v>290</v>
      </c>
      <c r="H84" s="21" t="s">
        <v>296</v>
      </c>
      <c r="I84" s="24" t="s">
        <v>381</v>
      </c>
    </row>
    <row r="85" spans="1:9" ht="41.4" hidden="1" x14ac:dyDescent="0.3">
      <c r="A85" s="24" t="s">
        <v>30</v>
      </c>
      <c r="B85" s="24" t="s">
        <v>1043</v>
      </c>
      <c r="C85" s="21" t="s">
        <v>380</v>
      </c>
      <c r="D85" s="21" t="s">
        <v>295</v>
      </c>
      <c r="E85" s="22">
        <v>42061</v>
      </c>
      <c r="F85" s="22">
        <v>46446</v>
      </c>
      <c r="G85" s="24" t="s">
        <v>290</v>
      </c>
      <c r="H85" s="21" t="s">
        <v>296</v>
      </c>
      <c r="I85" s="255" t="s">
        <v>1044</v>
      </c>
    </row>
    <row r="86" spans="1:9" ht="69" hidden="1" x14ac:dyDescent="0.3">
      <c r="A86" s="24" t="s">
        <v>318</v>
      </c>
      <c r="B86" s="24" t="s">
        <v>319</v>
      </c>
      <c r="C86" s="21" t="s">
        <v>320</v>
      </c>
      <c r="D86" s="21" t="s">
        <v>289</v>
      </c>
      <c r="E86" s="22">
        <v>44652</v>
      </c>
      <c r="F86" s="22">
        <v>47057</v>
      </c>
      <c r="G86" s="24" t="s">
        <v>290</v>
      </c>
      <c r="H86" s="21" t="s">
        <v>321</v>
      </c>
      <c r="I86" s="24" t="s">
        <v>322</v>
      </c>
    </row>
    <row r="87" spans="1:9" ht="69" hidden="1" x14ac:dyDescent="0.3">
      <c r="A87" s="24" t="s">
        <v>318</v>
      </c>
      <c r="B87" s="24" t="s">
        <v>574</v>
      </c>
      <c r="C87" s="21" t="s">
        <v>320</v>
      </c>
      <c r="D87" s="21" t="s">
        <v>289</v>
      </c>
      <c r="E87" s="22">
        <v>44652</v>
      </c>
      <c r="F87" s="22">
        <v>45747</v>
      </c>
      <c r="G87" s="24" t="s">
        <v>290</v>
      </c>
      <c r="H87" s="21" t="s">
        <v>321</v>
      </c>
      <c r="I87" s="24" t="s">
        <v>322</v>
      </c>
    </row>
    <row r="88" spans="1:9" ht="69" hidden="1" x14ac:dyDescent="0.3">
      <c r="A88" s="24" t="s">
        <v>318</v>
      </c>
      <c r="B88" s="24" t="s">
        <v>575</v>
      </c>
      <c r="C88" s="21" t="s">
        <v>320</v>
      </c>
      <c r="D88" s="21" t="s">
        <v>289</v>
      </c>
      <c r="E88" s="22">
        <v>44652</v>
      </c>
      <c r="F88" s="22">
        <v>45747</v>
      </c>
      <c r="G88" s="24" t="s">
        <v>290</v>
      </c>
      <c r="H88" s="21" t="s">
        <v>321</v>
      </c>
      <c r="I88" s="24" t="s">
        <v>322</v>
      </c>
    </row>
    <row r="89" spans="1:9" ht="165.6" hidden="1" x14ac:dyDescent="0.3">
      <c r="A89" s="24" t="s">
        <v>330</v>
      </c>
      <c r="B89" s="24" t="s">
        <v>331</v>
      </c>
      <c r="C89" s="21" t="s">
        <v>332</v>
      </c>
      <c r="D89" s="21" t="s">
        <v>289</v>
      </c>
      <c r="E89" s="22">
        <v>44835</v>
      </c>
      <c r="F89" s="22">
        <v>46630</v>
      </c>
      <c r="G89" s="24" t="s">
        <v>290</v>
      </c>
      <c r="H89" s="21" t="s">
        <v>321</v>
      </c>
      <c r="I89" s="24" t="s">
        <v>333</v>
      </c>
    </row>
    <row r="90" spans="1:9" ht="179.4" hidden="1" x14ac:dyDescent="0.3">
      <c r="A90" s="24" t="s">
        <v>413</v>
      </c>
      <c r="B90" s="24" t="s">
        <v>566</v>
      </c>
      <c r="C90" s="21" t="s">
        <v>415</v>
      </c>
      <c r="D90" s="21" t="s">
        <v>358</v>
      </c>
      <c r="E90" s="22">
        <v>44927</v>
      </c>
      <c r="F90" s="23">
        <v>45657</v>
      </c>
      <c r="G90" s="24" t="s">
        <v>313</v>
      </c>
      <c r="H90" s="21" t="s">
        <v>291</v>
      </c>
      <c r="I90" s="24" t="s">
        <v>418</v>
      </c>
    </row>
    <row r="91" spans="1:9" ht="179.4" hidden="1" x14ac:dyDescent="0.3">
      <c r="A91" s="24" t="s">
        <v>413</v>
      </c>
      <c r="B91" s="24" t="s">
        <v>567</v>
      </c>
      <c r="C91" s="21" t="s">
        <v>415</v>
      </c>
      <c r="D91" s="21" t="s">
        <v>358</v>
      </c>
      <c r="E91" s="22">
        <v>44927</v>
      </c>
      <c r="F91" s="23">
        <v>45657</v>
      </c>
      <c r="G91" s="24" t="s">
        <v>313</v>
      </c>
      <c r="H91" s="21" t="s">
        <v>291</v>
      </c>
      <c r="I91" s="24" t="s">
        <v>418</v>
      </c>
    </row>
    <row r="92" spans="1:9" ht="179.4" hidden="1" x14ac:dyDescent="0.3">
      <c r="A92" s="24" t="s">
        <v>413</v>
      </c>
      <c r="B92" s="24" t="s">
        <v>568</v>
      </c>
      <c r="C92" s="21" t="s">
        <v>415</v>
      </c>
      <c r="D92" s="21" t="s">
        <v>358</v>
      </c>
      <c r="E92" s="22">
        <v>44927</v>
      </c>
      <c r="F92" s="23">
        <v>45657</v>
      </c>
      <c r="G92" s="24" t="s">
        <v>313</v>
      </c>
      <c r="H92" s="21" t="s">
        <v>291</v>
      </c>
      <c r="I92" s="24" t="s">
        <v>418</v>
      </c>
    </row>
    <row r="93" spans="1:9" ht="124.2" hidden="1" x14ac:dyDescent="0.3">
      <c r="A93" s="24" t="s">
        <v>413</v>
      </c>
      <c r="B93" s="24" t="s">
        <v>569</v>
      </c>
      <c r="C93" s="21" t="s">
        <v>434</v>
      </c>
      <c r="D93" s="21" t="s">
        <v>358</v>
      </c>
      <c r="E93" s="22">
        <v>44805</v>
      </c>
      <c r="F93" s="22">
        <v>45777</v>
      </c>
      <c r="G93" s="24" t="s">
        <v>290</v>
      </c>
      <c r="H93" s="21" t="s">
        <v>296</v>
      </c>
      <c r="I93" s="24" t="s">
        <v>435</v>
      </c>
    </row>
    <row r="94" spans="1:9" ht="165.6" hidden="1" x14ac:dyDescent="0.3">
      <c r="A94" s="24" t="s">
        <v>449</v>
      </c>
      <c r="B94" s="24" t="s">
        <v>570</v>
      </c>
      <c r="C94" s="21" t="s">
        <v>451</v>
      </c>
      <c r="D94" s="21" t="s">
        <v>295</v>
      </c>
      <c r="E94" s="22">
        <v>45125</v>
      </c>
      <c r="F94" s="22">
        <v>46234</v>
      </c>
      <c r="G94" s="24" t="s">
        <v>290</v>
      </c>
      <c r="H94" s="21" t="s">
        <v>296</v>
      </c>
      <c r="I94" s="24" t="s">
        <v>452</v>
      </c>
    </row>
    <row r="95" spans="1:9" ht="82.8" hidden="1" x14ac:dyDescent="0.3">
      <c r="A95" s="24" t="s">
        <v>496</v>
      </c>
      <c r="B95" s="24" t="s">
        <v>571</v>
      </c>
      <c r="C95" s="21" t="s">
        <v>498</v>
      </c>
      <c r="D95" s="21" t="s">
        <v>289</v>
      </c>
      <c r="E95" s="22">
        <v>45002</v>
      </c>
      <c r="F95" s="22">
        <v>46098</v>
      </c>
      <c r="G95" s="24" t="s">
        <v>290</v>
      </c>
      <c r="H95" s="21" t="s">
        <v>471</v>
      </c>
      <c r="I95" s="24" t="s">
        <v>499</v>
      </c>
    </row>
    <row r="96" spans="1:9" ht="27.6" hidden="1" x14ac:dyDescent="0.3">
      <c r="A96" s="24" t="s">
        <v>493</v>
      </c>
      <c r="B96" s="24" t="s">
        <v>494</v>
      </c>
      <c r="C96" s="21" t="s">
        <v>281</v>
      </c>
      <c r="D96" s="21" t="s">
        <v>295</v>
      </c>
      <c r="E96" s="22">
        <v>43617</v>
      </c>
      <c r="F96" s="22">
        <v>47269</v>
      </c>
      <c r="G96" s="24" t="s">
        <v>290</v>
      </c>
      <c r="H96" s="21" t="s">
        <v>321</v>
      </c>
      <c r="I96" s="24" t="s">
        <v>495</v>
      </c>
    </row>
    <row r="97" spans="1:9" ht="303.60000000000002" hidden="1" x14ac:dyDescent="0.3">
      <c r="A97" s="24" t="s">
        <v>555</v>
      </c>
      <c r="B97" s="24" t="s">
        <v>556</v>
      </c>
      <c r="C97" s="21" t="s">
        <v>784</v>
      </c>
      <c r="D97" s="21" t="s">
        <v>289</v>
      </c>
      <c r="E97" s="22">
        <v>45231</v>
      </c>
      <c r="F97" s="23">
        <v>45961</v>
      </c>
      <c r="G97" s="24" t="s">
        <v>290</v>
      </c>
      <c r="H97" s="21" t="s">
        <v>321</v>
      </c>
      <c r="I97" s="24" t="s">
        <v>557</v>
      </c>
    </row>
    <row r="98" spans="1:9" ht="207" hidden="1" x14ac:dyDescent="0.3">
      <c r="A98" s="24" t="s">
        <v>343</v>
      </c>
      <c r="B98" s="24" t="s">
        <v>344</v>
      </c>
      <c r="C98" s="21" t="s">
        <v>345</v>
      </c>
      <c r="D98" s="21" t="s">
        <v>289</v>
      </c>
      <c r="E98" s="22">
        <v>45200</v>
      </c>
      <c r="F98" s="22">
        <v>45930</v>
      </c>
      <c r="G98" s="24" t="s">
        <v>290</v>
      </c>
      <c r="H98" s="21" t="s">
        <v>321</v>
      </c>
      <c r="I98" s="24" t="s">
        <v>346</v>
      </c>
    </row>
    <row r="99" spans="1:9" ht="151.80000000000001" hidden="1" x14ac:dyDescent="0.3">
      <c r="A99" s="24" t="s">
        <v>351</v>
      </c>
      <c r="B99" s="24" t="s">
        <v>352</v>
      </c>
      <c r="C99" s="21" t="s">
        <v>353</v>
      </c>
      <c r="D99" s="21" t="s">
        <v>295</v>
      </c>
      <c r="E99" s="22">
        <v>45478</v>
      </c>
      <c r="F99" s="23">
        <v>46721</v>
      </c>
      <c r="G99" s="24" t="s">
        <v>290</v>
      </c>
      <c r="H99" s="21" t="s">
        <v>321</v>
      </c>
      <c r="I99" s="24" t="s">
        <v>354</v>
      </c>
    </row>
    <row r="100" spans="1:9" ht="138" hidden="1" x14ac:dyDescent="0.3">
      <c r="A100" s="24" t="s">
        <v>347</v>
      </c>
      <c r="B100" s="24" t="s">
        <v>576</v>
      </c>
      <c r="C100" s="21" t="s">
        <v>349</v>
      </c>
      <c r="D100" s="21" t="s">
        <v>289</v>
      </c>
      <c r="E100" s="22">
        <v>44984</v>
      </c>
      <c r="F100" s="22">
        <v>46079</v>
      </c>
      <c r="G100" s="24" t="s">
        <v>290</v>
      </c>
      <c r="H100" s="21" t="s">
        <v>296</v>
      </c>
      <c r="I100" s="24" t="s">
        <v>350</v>
      </c>
    </row>
    <row r="101" spans="1:9" ht="165.6" hidden="1" x14ac:dyDescent="0.3">
      <c r="A101" s="24" t="s">
        <v>355</v>
      </c>
      <c r="B101" s="24" t="s">
        <v>577</v>
      </c>
      <c r="C101" s="21" t="s">
        <v>357</v>
      </c>
      <c r="D101" s="21" t="s">
        <v>358</v>
      </c>
      <c r="E101" s="23">
        <v>42703</v>
      </c>
      <c r="F101" s="22">
        <v>46081</v>
      </c>
      <c r="G101" s="24" t="s">
        <v>290</v>
      </c>
      <c r="H101" s="21" t="s">
        <v>296</v>
      </c>
      <c r="I101" s="24" t="s">
        <v>359</v>
      </c>
    </row>
    <row r="102" spans="1:9" ht="303.60000000000002" x14ac:dyDescent="0.3">
      <c r="A102" s="24" t="s">
        <v>17</v>
      </c>
      <c r="B102" s="24" t="s">
        <v>578</v>
      </c>
      <c r="C102" s="21" t="s">
        <v>288</v>
      </c>
      <c r="D102" s="21" t="s">
        <v>289</v>
      </c>
      <c r="E102" s="22">
        <v>44743</v>
      </c>
      <c r="F102" s="23">
        <v>46752</v>
      </c>
      <c r="G102" s="24" t="s">
        <v>290</v>
      </c>
      <c r="H102" s="21" t="s">
        <v>291</v>
      </c>
      <c r="I102" s="24" t="s">
        <v>292</v>
      </c>
    </row>
    <row r="103" spans="1:9" ht="165.6" hidden="1" x14ac:dyDescent="0.3">
      <c r="A103" s="24" t="s">
        <v>365</v>
      </c>
      <c r="B103" s="24" t="s">
        <v>366</v>
      </c>
      <c r="C103" s="21" t="s">
        <v>367</v>
      </c>
      <c r="D103" s="21" t="s">
        <v>289</v>
      </c>
      <c r="E103" s="23">
        <v>45243</v>
      </c>
      <c r="F103" s="22">
        <v>46538</v>
      </c>
      <c r="G103" s="24" t="s">
        <v>290</v>
      </c>
      <c r="H103" s="21" t="s">
        <v>321</v>
      </c>
      <c r="I103" s="24" t="s">
        <v>368</v>
      </c>
    </row>
    <row r="104" spans="1:9" ht="165.6" x14ac:dyDescent="0.3">
      <c r="A104" s="24" t="s">
        <v>17</v>
      </c>
      <c r="B104" s="24" t="s">
        <v>823</v>
      </c>
      <c r="C104" s="21" t="s">
        <v>795</v>
      </c>
      <c r="D104" s="21" t="s">
        <v>295</v>
      </c>
      <c r="E104" s="22">
        <v>43301</v>
      </c>
      <c r="F104" s="23">
        <v>45930</v>
      </c>
      <c r="G104" s="24" t="s">
        <v>290</v>
      </c>
      <c r="H104" s="21" t="s">
        <v>296</v>
      </c>
      <c r="I104" s="24" t="s">
        <v>824</v>
      </c>
    </row>
    <row r="105" spans="1:9" ht="41.4" hidden="1" x14ac:dyDescent="0.3">
      <c r="A105" s="24" t="s">
        <v>413</v>
      </c>
      <c r="B105" s="24" t="s">
        <v>569</v>
      </c>
      <c r="C105" s="21" t="s">
        <v>434</v>
      </c>
      <c r="D105" s="21" t="s">
        <v>358</v>
      </c>
      <c r="E105" s="22">
        <v>44805</v>
      </c>
      <c r="F105" s="22">
        <v>45777</v>
      </c>
      <c r="G105" s="24" t="s">
        <v>290</v>
      </c>
      <c r="H105" s="21" t="s">
        <v>296</v>
      </c>
      <c r="I105" s="24" t="s">
        <v>1085</v>
      </c>
    </row>
  </sheetData>
  <autoFilter ref="A1:I105" xr:uid="{3F506F06-5FF9-4B32-83C9-9EB4905EFC3C}">
    <filterColumn colId="0">
      <filters>
        <filter val="Medtronic"/>
      </filters>
    </filterColumn>
    <filterColumn colId="6">
      <filters>
        <filter val="ACTIVE"/>
      </filters>
    </filterColumn>
    <sortState xmlns:xlrd2="http://schemas.microsoft.com/office/spreadsheetml/2017/richdata2" ref="A11:I103">
      <sortCondition ref="A1:A104"/>
    </sortState>
  </autoFilter>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6A398-C954-40E6-AB6B-791135C1B925}">
  <dimension ref="A1:N61"/>
  <sheetViews>
    <sheetView topLeftCell="A10" zoomScale="120" zoomScaleNormal="120" workbookViewId="0">
      <selection activeCell="D20" sqref="D20"/>
    </sheetView>
  </sheetViews>
  <sheetFormatPr defaultRowHeight="15.6" x14ac:dyDescent="0.3"/>
  <cols>
    <col min="2" max="2" width="13.8984375" style="250" customWidth="1"/>
    <col min="3" max="3" width="25.19921875" style="250" customWidth="1"/>
    <col min="4" max="4" width="12.59765625" style="250" customWidth="1"/>
    <col min="5" max="8" width="9" style="250"/>
    <col min="9" max="9" width="11.59765625" style="250" customWidth="1"/>
    <col min="10" max="10" width="73.5" style="251" customWidth="1"/>
    <col min="11" max="11" width="36.19921875" bestFit="1" customWidth="1"/>
  </cols>
  <sheetData>
    <row r="1" spans="1:14" x14ac:dyDescent="0.3">
      <c r="A1" s="248" t="s">
        <v>171</v>
      </c>
      <c r="B1" s="248" t="s">
        <v>580</v>
      </c>
      <c r="C1" s="248" t="s">
        <v>93</v>
      </c>
      <c r="D1" s="252" t="s">
        <v>279</v>
      </c>
      <c r="E1" s="252" t="s">
        <v>581</v>
      </c>
      <c r="F1" s="252" t="s">
        <v>582</v>
      </c>
      <c r="G1" s="252" t="s">
        <v>583</v>
      </c>
      <c r="H1" s="248" t="s">
        <v>584</v>
      </c>
      <c r="I1" s="252" t="s">
        <v>585</v>
      </c>
      <c r="J1" s="248" t="s">
        <v>586</v>
      </c>
    </row>
    <row r="2" spans="1:14" s="297" customFormat="1" ht="24.9" customHeight="1" x14ac:dyDescent="0.3">
      <c r="A2" s="292">
        <v>1</v>
      </c>
      <c r="B2" s="293" t="s">
        <v>496</v>
      </c>
      <c r="C2" s="293" t="s">
        <v>497</v>
      </c>
      <c r="D2" s="292" t="s">
        <v>498</v>
      </c>
      <c r="E2" s="292" t="s">
        <v>295</v>
      </c>
      <c r="F2" s="294">
        <v>45002</v>
      </c>
      <c r="G2" s="294">
        <v>46843</v>
      </c>
      <c r="H2" s="293" t="s">
        <v>290</v>
      </c>
      <c r="I2" s="292" t="s">
        <v>471</v>
      </c>
      <c r="J2" s="293" t="s">
        <v>499</v>
      </c>
      <c r="K2" s="312" t="s">
        <v>1165</v>
      </c>
      <c r="L2" s="296" t="s">
        <v>1174</v>
      </c>
      <c r="M2" s="296"/>
      <c r="N2" s="296"/>
    </row>
    <row r="3" spans="1:14" ht="24.9" customHeight="1" x14ac:dyDescent="0.3">
      <c r="A3" s="348">
        <v>3</v>
      </c>
      <c r="B3" s="349" t="s">
        <v>535</v>
      </c>
      <c r="C3" s="349" t="s">
        <v>536</v>
      </c>
      <c r="D3" s="348" t="s">
        <v>537</v>
      </c>
      <c r="E3" s="348" t="s">
        <v>289</v>
      </c>
      <c r="F3" s="350">
        <v>44682</v>
      </c>
      <c r="G3" s="350">
        <v>46507</v>
      </c>
      <c r="H3" s="349" t="s">
        <v>290</v>
      </c>
      <c r="I3" s="348" t="s">
        <v>471</v>
      </c>
      <c r="J3" s="349" t="s">
        <v>538</v>
      </c>
      <c r="K3" s="353" t="s">
        <v>1167</v>
      </c>
      <c r="L3" s="256"/>
      <c r="M3" s="256"/>
      <c r="N3" s="256"/>
    </row>
    <row r="4" spans="1:14" ht="24.9" customHeight="1" x14ac:dyDescent="0.3">
      <c r="A4" s="348">
        <v>4</v>
      </c>
      <c r="B4" s="349" t="s">
        <v>1013</v>
      </c>
      <c r="C4" s="349" t="s">
        <v>1014</v>
      </c>
      <c r="D4" s="348" t="s">
        <v>1015</v>
      </c>
      <c r="E4" s="348" t="s">
        <v>289</v>
      </c>
      <c r="F4" s="350">
        <v>43739</v>
      </c>
      <c r="G4" s="350" t="s">
        <v>1016</v>
      </c>
      <c r="H4" s="349" t="s">
        <v>290</v>
      </c>
      <c r="I4" s="348" t="s">
        <v>471</v>
      </c>
      <c r="J4" s="349" t="s">
        <v>1017</v>
      </c>
      <c r="K4" s="353" t="s">
        <v>1166</v>
      </c>
      <c r="L4" s="256"/>
      <c r="M4" s="256"/>
      <c r="N4" s="256"/>
    </row>
    <row r="5" spans="1:14" s="48" customFormat="1" ht="24.9" customHeight="1" x14ac:dyDescent="0.3">
      <c r="A5" s="358">
        <v>5</v>
      </c>
      <c r="B5" s="359" t="s">
        <v>1018</v>
      </c>
      <c r="C5" s="359" t="s">
        <v>1019</v>
      </c>
      <c r="D5" s="358" t="s">
        <v>1020</v>
      </c>
      <c r="E5" s="358" t="s">
        <v>295</v>
      </c>
      <c r="F5" s="355">
        <v>44131</v>
      </c>
      <c r="G5" s="355">
        <v>46387</v>
      </c>
      <c r="H5" s="359" t="s">
        <v>290</v>
      </c>
      <c r="I5" s="358" t="s">
        <v>471</v>
      </c>
      <c r="J5" s="359" t="s">
        <v>1021</v>
      </c>
      <c r="K5" s="360" t="s">
        <v>1165</v>
      </c>
      <c r="L5" s="361" t="s">
        <v>1175</v>
      </c>
      <c r="M5" s="361"/>
      <c r="N5" s="361"/>
    </row>
    <row r="6" spans="1:14" ht="24.9" customHeight="1" x14ac:dyDescent="0.3">
      <c r="A6" s="348">
        <v>6</v>
      </c>
      <c r="B6" s="349" t="s">
        <v>1022</v>
      </c>
      <c r="C6" s="349" t="s">
        <v>1023</v>
      </c>
      <c r="D6" s="348" t="s">
        <v>1024</v>
      </c>
      <c r="E6" s="348" t="s">
        <v>289</v>
      </c>
      <c r="F6" s="350">
        <v>42036</v>
      </c>
      <c r="G6" s="350">
        <v>46387</v>
      </c>
      <c r="H6" s="349" t="s">
        <v>290</v>
      </c>
      <c r="I6" s="348" t="s">
        <v>471</v>
      </c>
      <c r="J6" s="349" t="s">
        <v>1025</v>
      </c>
      <c r="K6" s="352"/>
      <c r="L6" s="256" t="s">
        <v>1176</v>
      </c>
      <c r="M6" s="256"/>
      <c r="N6" s="256"/>
    </row>
    <row r="7" spans="1:14" ht="24.9" customHeight="1" x14ac:dyDescent="0.3">
      <c r="A7" s="348" t="s">
        <v>1172</v>
      </c>
      <c r="B7" s="349" t="s">
        <v>1026</v>
      </c>
      <c r="C7" s="349" t="s">
        <v>1027</v>
      </c>
      <c r="D7" s="348" t="s">
        <v>1028</v>
      </c>
      <c r="E7" s="348" t="s">
        <v>289</v>
      </c>
      <c r="F7" s="350">
        <v>41760</v>
      </c>
      <c r="G7" s="350">
        <v>47118</v>
      </c>
      <c r="H7" s="349" t="s">
        <v>290</v>
      </c>
      <c r="I7" s="348" t="s">
        <v>471</v>
      </c>
      <c r="J7" s="349" t="s">
        <v>1029</v>
      </c>
      <c r="K7" s="356" t="s">
        <v>1171</v>
      </c>
      <c r="L7" s="256"/>
      <c r="M7" s="256"/>
      <c r="N7" s="256"/>
    </row>
    <row r="8" spans="1:14" ht="24.9" customHeight="1" x14ac:dyDescent="0.3">
      <c r="A8" s="348">
        <v>8</v>
      </c>
      <c r="B8" s="349" t="s">
        <v>481</v>
      </c>
      <c r="C8" s="349" t="s">
        <v>482</v>
      </c>
      <c r="D8" s="348" t="s">
        <v>483</v>
      </c>
      <c r="E8" s="348" t="s">
        <v>289</v>
      </c>
      <c r="F8" s="350">
        <v>45422</v>
      </c>
      <c r="G8" s="350">
        <v>47238</v>
      </c>
      <c r="H8" s="349" t="s">
        <v>290</v>
      </c>
      <c r="I8" s="348" t="s">
        <v>471</v>
      </c>
      <c r="J8" s="349" t="s">
        <v>485</v>
      </c>
      <c r="K8" s="351" t="s">
        <v>1168</v>
      </c>
      <c r="L8" s="256"/>
      <c r="M8" s="256"/>
      <c r="N8" s="256"/>
    </row>
    <row r="9" spans="1:14" ht="24.9" customHeight="1" x14ac:dyDescent="0.3">
      <c r="A9" s="348">
        <v>9</v>
      </c>
      <c r="B9" s="349" t="s">
        <v>360</v>
      </c>
      <c r="C9" s="349" t="s">
        <v>361</v>
      </c>
      <c r="D9" s="348" t="s">
        <v>362</v>
      </c>
      <c r="E9" s="348" t="s">
        <v>295</v>
      </c>
      <c r="F9" s="350">
        <v>45017</v>
      </c>
      <c r="G9" s="350">
        <v>46934</v>
      </c>
      <c r="H9" s="349" t="s">
        <v>290</v>
      </c>
      <c r="I9" s="348" t="s">
        <v>471</v>
      </c>
      <c r="J9" s="349" t="s">
        <v>1030</v>
      </c>
      <c r="K9" s="352"/>
      <c r="L9" s="256"/>
      <c r="M9" s="256"/>
      <c r="N9" s="256"/>
    </row>
    <row r="10" spans="1:14" ht="24.9" customHeight="1" x14ac:dyDescent="0.3">
      <c r="A10" s="348">
        <v>10</v>
      </c>
      <c r="B10" s="349" t="s">
        <v>445</v>
      </c>
      <c r="C10" s="349" t="s">
        <v>446</v>
      </c>
      <c r="D10" s="348" t="s">
        <v>1031</v>
      </c>
      <c r="E10" s="348" t="s">
        <v>295</v>
      </c>
      <c r="F10" s="350">
        <v>45198</v>
      </c>
      <c r="G10" s="355">
        <v>45836</v>
      </c>
      <c r="H10" s="349" t="s">
        <v>313</v>
      </c>
      <c r="I10" s="348" t="s">
        <v>471</v>
      </c>
      <c r="J10" s="349" t="s">
        <v>448</v>
      </c>
      <c r="K10" s="351" t="s">
        <v>1169</v>
      </c>
      <c r="L10" s="256"/>
      <c r="M10" s="256"/>
      <c r="N10" s="256"/>
    </row>
    <row r="11" spans="1:14" ht="24.9" customHeight="1" x14ac:dyDescent="0.3">
      <c r="A11" s="358">
        <v>11</v>
      </c>
      <c r="B11" s="359" t="s">
        <v>524</v>
      </c>
      <c r="C11" s="359" t="s">
        <v>525</v>
      </c>
      <c r="D11" s="358" t="s">
        <v>1032</v>
      </c>
      <c r="E11" s="358" t="s">
        <v>295</v>
      </c>
      <c r="F11" s="355">
        <v>43617</v>
      </c>
      <c r="G11" s="354">
        <v>46022</v>
      </c>
      <c r="H11" s="359" t="s">
        <v>855</v>
      </c>
      <c r="I11" s="358" t="s">
        <v>471</v>
      </c>
      <c r="J11" s="359" t="s">
        <v>527</v>
      </c>
      <c r="K11" s="360" t="s">
        <v>1165</v>
      </c>
      <c r="L11" s="256"/>
      <c r="M11" s="256"/>
      <c r="N11" s="256"/>
    </row>
    <row r="12" spans="1:14" ht="24.9" customHeight="1" x14ac:dyDescent="0.3">
      <c r="A12" s="348">
        <v>12</v>
      </c>
      <c r="B12" s="349" t="s">
        <v>334</v>
      </c>
      <c r="C12" s="349" t="s">
        <v>335</v>
      </c>
      <c r="D12" s="348" t="s">
        <v>336</v>
      </c>
      <c r="E12" s="348" t="s">
        <v>337</v>
      </c>
      <c r="F12" s="350">
        <v>45108</v>
      </c>
      <c r="G12" s="350">
        <v>46934</v>
      </c>
      <c r="H12" s="349" t="s">
        <v>290</v>
      </c>
      <c r="I12" s="348" t="s">
        <v>471</v>
      </c>
      <c r="J12" s="349" t="s">
        <v>338</v>
      </c>
      <c r="K12" s="351" t="s">
        <v>1170</v>
      </c>
      <c r="L12" s="256"/>
      <c r="M12" s="256"/>
      <c r="N12" s="256"/>
    </row>
    <row r="13" spans="1:14" ht="24.9" customHeight="1" x14ac:dyDescent="0.3">
      <c r="A13" s="253">
        <v>13</v>
      </c>
      <c r="B13" s="249" t="s">
        <v>17</v>
      </c>
      <c r="C13" s="249" t="s">
        <v>293</v>
      </c>
      <c r="D13" s="253" t="s">
        <v>294</v>
      </c>
      <c r="E13" s="253" t="s">
        <v>295</v>
      </c>
      <c r="F13" s="258">
        <v>43060</v>
      </c>
      <c r="G13" s="254">
        <v>46660</v>
      </c>
      <c r="H13" s="249" t="s">
        <v>290</v>
      </c>
      <c r="I13" s="253" t="s">
        <v>296</v>
      </c>
      <c r="J13" s="249" t="s">
        <v>297</v>
      </c>
      <c r="K13" s="256"/>
      <c r="L13" s="256"/>
      <c r="M13" s="256"/>
      <c r="N13" s="256"/>
    </row>
    <row r="14" spans="1:14" ht="24.9" customHeight="1" x14ac:dyDescent="0.3">
      <c r="A14" s="253">
        <v>14</v>
      </c>
      <c r="B14" s="249" t="s">
        <v>30</v>
      </c>
      <c r="C14" s="249" t="s">
        <v>373</v>
      </c>
      <c r="D14" s="253" t="s">
        <v>374</v>
      </c>
      <c r="E14" s="253" t="s">
        <v>295</v>
      </c>
      <c r="F14" s="258">
        <v>45108</v>
      </c>
      <c r="G14" s="254">
        <v>46446</v>
      </c>
      <c r="H14" s="249" t="s">
        <v>290</v>
      </c>
      <c r="I14" s="253" t="s">
        <v>296</v>
      </c>
      <c r="J14" s="249" t="s">
        <v>375</v>
      </c>
      <c r="K14" s="256"/>
      <c r="L14" s="256"/>
      <c r="M14" s="256"/>
      <c r="N14" s="256"/>
    </row>
    <row r="15" spans="1:14" ht="24.9" customHeight="1" x14ac:dyDescent="0.3">
      <c r="A15" s="253">
        <v>15</v>
      </c>
      <c r="B15" s="249" t="s">
        <v>30</v>
      </c>
      <c r="C15" s="249" t="s">
        <v>379</v>
      </c>
      <c r="D15" s="253" t="s">
        <v>380</v>
      </c>
      <c r="E15" s="253" t="s">
        <v>295</v>
      </c>
      <c r="F15" s="254">
        <v>44743</v>
      </c>
      <c r="G15" s="254">
        <v>46446</v>
      </c>
      <c r="H15" s="249" t="s">
        <v>290</v>
      </c>
      <c r="I15" s="253" t="s">
        <v>296</v>
      </c>
      <c r="J15" s="249" t="s">
        <v>381</v>
      </c>
      <c r="K15" s="256"/>
      <c r="L15" s="256"/>
      <c r="M15" s="256"/>
      <c r="N15" s="256"/>
    </row>
    <row r="16" spans="1:14" ht="24.9" customHeight="1" x14ac:dyDescent="0.3">
      <c r="A16" s="253">
        <v>16</v>
      </c>
      <c r="B16" s="249" t="s">
        <v>449</v>
      </c>
      <c r="C16" s="249" t="s">
        <v>450</v>
      </c>
      <c r="D16" s="253" t="s">
        <v>451</v>
      </c>
      <c r="E16" s="253" t="s">
        <v>295</v>
      </c>
      <c r="F16" s="254">
        <v>45125</v>
      </c>
      <c r="G16" s="254">
        <v>46234</v>
      </c>
      <c r="H16" s="249" t="s">
        <v>290</v>
      </c>
      <c r="I16" s="253" t="s">
        <v>296</v>
      </c>
      <c r="J16" s="249" t="s">
        <v>452</v>
      </c>
      <c r="K16" s="256"/>
      <c r="L16" s="256"/>
      <c r="M16" s="256"/>
      <c r="N16" s="256"/>
    </row>
    <row r="17" spans="1:14" ht="24.9" customHeight="1" x14ac:dyDescent="0.3">
      <c r="A17" s="253">
        <v>17</v>
      </c>
      <c r="B17" s="249" t="s">
        <v>449</v>
      </c>
      <c r="C17" s="249" t="s">
        <v>570</v>
      </c>
      <c r="D17" s="253" t="s">
        <v>451</v>
      </c>
      <c r="E17" s="253" t="s">
        <v>295</v>
      </c>
      <c r="F17" s="254">
        <v>45125</v>
      </c>
      <c r="G17" s="254">
        <v>46234</v>
      </c>
      <c r="H17" s="249" t="s">
        <v>290</v>
      </c>
      <c r="I17" s="253" t="s">
        <v>296</v>
      </c>
      <c r="J17" s="249" t="s">
        <v>452</v>
      </c>
      <c r="K17" s="256"/>
      <c r="L17" s="256"/>
      <c r="M17" s="256"/>
      <c r="N17" s="256"/>
    </row>
    <row r="18" spans="1:14" ht="24.9" customHeight="1" x14ac:dyDescent="0.3">
      <c r="A18" s="253">
        <v>18</v>
      </c>
      <c r="B18" s="249" t="s">
        <v>30</v>
      </c>
      <c r="C18" s="249" t="s">
        <v>551</v>
      </c>
      <c r="D18" s="253" t="s">
        <v>377</v>
      </c>
      <c r="E18" s="253" t="s">
        <v>295</v>
      </c>
      <c r="F18" s="254">
        <v>45200</v>
      </c>
      <c r="G18" s="258">
        <v>47118</v>
      </c>
      <c r="H18" s="249" t="s">
        <v>290</v>
      </c>
      <c r="I18" s="253" t="s">
        <v>296</v>
      </c>
      <c r="J18" s="249" t="s">
        <v>378</v>
      </c>
      <c r="K18" s="256"/>
      <c r="L18" s="256"/>
      <c r="M18" s="256"/>
      <c r="N18" s="256"/>
    </row>
    <row r="19" spans="1:14" ht="24.9" customHeight="1" x14ac:dyDescent="0.3">
      <c r="A19" s="253">
        <v>19</v>
      </c>
      <c r="B19" s="249" t="s">
        <v>1033</v>
      </c>
      <c r="C19" s="249" t="s">
        <v>1034</v>
      </c>
      <c r="D19" s="253" t="s">
        <v>428</v>
      </c>
      <c r="E19" s="253" t="s">
        <v>295</v>
      </c>
      <c r="F19" s="254">
        <v>44044</v>
      </c>
      <c r="G19" s="254">
        <v>46290</v>
      </c>
      <c r="H19" s="249" t="s">
        <v>290</v>
      </c>
      <c r="I19" s="253" t="s">
        <v>296</v>
      </c>
      <c r="J19" s="249" t="s">
        <v>1035</v>
      </c>
      <c r="K19" s="256"/>
      <c r="L19" s="256"/>
      <c r="M19" s="256"/>
      <c r="N19" s="256"/>
    </row>
    <row r="20" spans="1:14" ht="24.9" customHeight="1" x14ac:dyDescent="0.3">
      <c r="A20" s="253">
        <v>20</v>
      </c>
      <c r="B20" s="249" t="s">
        <v>30</v>
      </c>
      <c r="C20" s="249" t="s">
        <v>559</v>
      </c>
      <c r="D20" s="253" t="s">
        <v>380</v>
      </c>
      <c r="E20" s="253" t="s">
        <v>295</v>
      </c>
      <c r="F20" s="254">
        <v>44743</v>
      </c>
      <c r="G20" s="254">
        <v>46446</v>
      </c>
      <c r="H20" s="249" t="s">
        <v>290</v>
      </c>
      <c r="I20" s="253" t="s">
        <v>296</v>
      </c>
      <c r="J20" s="249" t="s">
        <v>381</v>
      </c>
      <c r="K20" s="256"/>
      <c r="L20" s="256"/>
      <c r="M20" s="256"/>
      <c r="N20" s="256"/>
    </row>
    <row r="21" spans="1:14" ht="24.9" customHeight="1" x14ac:dyDescent="0.3">
      <c r="A21" s="253">
        <v>21</v>
      </c>
      <c r="B21" s="249" t="s">
        <v>1033</v>
      </c>
      <c r="C21" s="249" t="s">
        <v>1036</v>
      </c>
      <c r="D21" s="253" t="s">
        <v>428</v>
      </c>
      <c r="E21" s="253" t="s">
        <v>295</v>
      </c>
      <c r="F21" s="254">
        <v>44044</v>
      </c>
      <c r="G21" s="254">
        <v>46290</v>
      </c>
      <c r="H21" s="249" t="s">
        <v>290</v>
      </c>
      <c r="I21" s="253" t="s">
        <v>296</v>
      </c>
      <c r="J21" s="249" t="s">
        <v>1037</v>
      </c>
      <c r="K21" s="256"/>
      <c r="L21" s="256"/>
      <c r="M21" s="256"/>
      <c r="N21" s="256"/>
    </row>
    <row r="22" spans="1:14" ht="24.9" customHeight="1" x14ac:dyDescent="0.3">
      <c r="A22" s="253">
        <v>22</v>
      </c>
      <c r="B22" s="249" t="s">
        <v>347</v>
      </c>
      <c r="C22" s="249" t="s">
        <v>576</v>
      </c>
      <c r="D22" s="253" t="s">
        <v>349</v>
      </c>
      <c r="E22" s="253" t="s">
        <v>289</v>
      </c>
      <c r="F22" s="254">
        <v>44984</v>
      </c>
      <c r="G22" s="254">
        <v>46079</v>
      </c>
      <c r="H22" s="249" t="s">
        <v>290</v>
      </c>
      <c r="I22" s="253" t="s">
        <v>296</v>
      </c>
      <c r="J22" s="249" t="s">
        <v>350</v>
      </c>
      <c r="K22" s="256"/>
      <c r="L22" s="256"/>
      <c r="M22" s="256"/>
      <c r="N22" s="256"/>
    </row>
    <row r="23" spans="1:14" ht="24.9" customHeight="1" x14ac:dyDescent="0.3">
      <c r="A23" s="253">
        <v>23</v>
      </c>
      <c r="B23" s="249" t="s">
        <v>355</v>
      </c>
      <c r="C23" s="249" t="s">
        <v>577</v>
      </c>
      <c r="D23" s="253" t="s">
        <v>357</v>
      </c>
      <c r="E23" s="253" t="s">
        <v>358</v>
      </c>
      <c r="F23" s="258">
        <v>42703</v>
      </c>
      <c r="G23" s="254">
        <v>46081</v>
      </c>
      <c r="H23" s="249" t="s">
        <v>290</v>
      </c>
      <c r="I23" s="253" t="s">
        <v>296</v>
      </c>
      <c r="J23" s="249" t="s">
        <v>359</v>
      </c>
      <c r="K23" s="256"/>
      <c r="L23" s="256"/>
      <c r="M23" s="256"/>
      <c r="N23" s="256"/>
    </row>
    <row r="24" spans="1:14" ht="24.9" customHeight="1" x14ac:dyDescent="0.3">
      <c r="A24" s="253">
        <v>24</v>
      </c>
      <c r="B24" s="249" t="s">
        <v>1033</v>
      </c>
      <c r="C24" s="249" t="s">
        <v>1038</v>
      </c>
      <c r="D24" s="253" t="s">
        <v>1039</v>
      </c>
      <c r="E24" s="253" t="s">
        <v>295</v>
      </c>
      <c r="F24" s="254">
        <v>45729</v>
      </c>
      <c r="G24" s="254">
        <v>46093</v>
      </c>
      <c r="H24" s="249" t="s">
        <v>290</v>
      </c>
      <c r="I24" s="253" t="s">
        <v>296</v>
      </c>
      <c r="J24" s="249" t="s">
        <v>1040</v>
      </c>
      <c r="K24" s="256"/>
      <c r="L24" s="256"/>
      <c r="M24" s="256"/>
      <c r="N24" s="256"/>
    </row>
    <row r="25" spans="1:14" ht="24.9" customHeight="1" x14ac:dyDescent="0.3">
      <c r="A25" s="253">
        <v>25</v>
      </c>
      <c r="B25" s="249" t="s">
        <v>1033</v>
      </c>
      <c r="C25" s="249" t="s">
        <v>1041</v>
      </c>
      <c r="D25" s="253" t="s">
        <v>679</v>
      </c>
      <c r="E25" s="253" t="s">
        <v>289</v>
      </c>
      <c r="F25" s="254">
        <v>41852</v>
      </c>
      <c r="G25" s="254">
        <v>46660</v>
      </c>
      <c r="H25" s="249" t="s">
        <v>290</v>
      </c>
      <c r="I25" s="253" t="s">
        <v>296</v>
      </c>
      <c r="J25" s="249" t="s">
        <v>1042</v>
      </c>
      <c r="K25" s="256"/>
      <c r="L25" s="256"/>
      <c r="M25" s="256"/>
      <c r="N25" s="256"/>
    </row>
    <row r="26" spans="1:14" ht="24.9" customHeight="1" x14ac:dyDescent="0.3">
      <c r="A26" s="253">
        <v>26</v>
      </c>
      <c r="B26" s="249" t="s">
        <v>30</v>
      </c>
      <c r="C26" s="249" t="s">
        <v>1043</v>
      </c>
      <c r="D26" s="253" t="s">
        <v>380</v>
      </c>
      <c r="E26" s="253" t="s">
        <v>295</v>
      </c>
      <c r="F26" s="254">
        <v>42061</v>
      </c>
      <c r="G26" s="254">
        <v>46446</v>
      </c>
      <c r="H26" s="249" t="s">
        <v>290</v>
      </c>
      <c r="I26" s="253" t="s">
        <v>296</v>
      </c>
      <c r="J26" s="259" t="s">
        <v>1044</v>
      </c>
      <c r="K26" s="256"/>
      <c r="L26" s="256"/>
      <c r="M26" s="256"/>
      <c r="N26" s="256"/>
    </row>
    <row r="27" spans="1:14" ht="24.9" customHeight="1" x14ac:dyDescent="0.3">
      <c r="A27" s="253">
        <v>27</v>
      </c>
      <c r="B27" s="249" t="s">
        <v>1045</v>
      </c>
      <c r="C27" s="249" t="s">
        <v>1046</v>
      </c>
      <c r="D27" s="253" t="s">
        <v>1047</v>
      </c>
      <c r="E27" s="253" t="s">
        <v>295</v>
      </c>
      <c r="F27" s="254">
        <v>43671</v>
      </c>
      <c r="G27" s="254">
        <v>46387</v>
      </c>
      <c r="H27" s="249" t="s">
        <v>290</v>
      </c>
      <c r="I27" s="253" t="s">
        <v>296</v>
      </c>
      <c r="J27" s="259" t="s">
        <v>1048</v>
      </c>
      <c r="K27" s="256"/>
      <c r="L27" s="256"/>
      <c r="M27" s="256"/>
      <c r="N27" s="256"/>
    </row>
    <row r="28" spans="1:14" ht="24.9" customHeight="1" x14ac:dyDescent="0.3">
      <c r="A28" s="253">
        <v>28</v>
      </c>
      <c r="B28" s="249" t="s">
        <v>1049</v>
      </c>
      <c r="C28" s="249" t="s">
        <v>1050</v>
      </c>
      <c r="D28" s="253" t="s">
        <v>1051</v>
      </c>
      <c r="E28" s="253" t="s">
        <v>295</v>
      </c>
      <c r="F28" s="254">
        <v>41821</v>
      </c>
      <c r="G28" s="254">
        <v>46568</v>
      </c>
      <c r="H28" s="249" t="s">
        <v>290</v>
      </c>
      <c r="I28" s="253" t="s">
        <v>296</v>
      </c>
      <c r="J28" s="259" t="s">
        <v>1052</v>
      </c>
      <c r="K28" s="256"/>
      <c r="L28" s="256"/>
      <c r="M28" s="256"/>
      <c r="N28" s="256"/>
    </row>
    <row r="29" spans="1:14" ht="24.9" customHeight="1" x14ac:dyDescent="0.3">
      <c r="A29" s="253">
        <v>29</v>
      </c>
      <c r="B29" s="249" t="s">
        <v>17</v>
      </c>
      <c r="C29" s="249" t="s">
        <v>1053</v>
      </c>
      <c r="D29" s="253" t="s">
        <v>1054</v>
      </c>
      <c r="E29" s="253" t="s">
        <v>295</v>
      </c>
      <c r="F29" s="254">
        <v>41758</v>
      </c>
      <c r="G29" s="258">
        <v>47118</v>
      </c>
      <c r="H29" s="249" t="s">
        <v>290</v>
      </c>
      <c r="I29" s="253" t="s">
        <v>296</v>
      </c>
      <c r="J29" s="249" t="s">
        <v>1055</v>
      </c>
      <c r="K29" s="256"/>
      <c r="L29" s="256"/>
      <c r="M29" s="256"/>
      <c r="N29" s="256"/>
    </row>
    <row r="30" spans="1:14" ht="24.9" customHeight="1" x14ac:dyDescent="0.3">
      <c r="A30" s="253">
        <v>30</v>
      </c>
      <c r="B30" s="249" t="s">
        <v>17</v>
      </c>
      <c r="C30" s="249" t="s">
        <v>1058</v>
      </c>
      <c r="D30" s="253" t="s">
        <v>1056</v>
      </c>
      <c r="E30" s="260" t="s">
        <v>289</v>
      </c>
      <c r="F30" s="254">
        <v>41285</v>
      </c>
      <c r="G30" s="258" t="s">
        <v>1016</v>
      </c>
      <c r="H30" s="249" t="s">
        <v>290</v>
      </c>
      <c r="I30" s="253" t="s">
        <v>296</v>
      </c>
      <c r="J30" s="249" t="s">
        <v>1057</v>
      </c>
      <c r="K30" s="256"/>
      <c r="L30" s="256"/>
      <c r="M30" s="256"/>
      <c r="N30" s="256"/>
    </row>
    <row r="31" spans="1:14" ht="24.9" customHeight="1" x14ac:dyDescent="0.3">
      <c r="A31" s="253">
        <v>31</v>
      </c>
      <c r="B31" s="249" t="s">
        <v>1059</v>
      </c>
      <c r="C31" s="249" t="s">
        <v>1060</v>
      </c>
      <c r="D31" s="253" t="s">
        <v>1061</v>
      </c>
      <c r="E31" s="253" t="s">
        <v>295</v>
      </c>
      <c r="F31" s="254">
        <v>46630</v>
      </c>
      <c r="G31" s="258">
        <v>46265</v>
      </c>
      <c r="H31" s="249" t="s">
        <v>290</v>
      </c>
      <c r="I31" s="253" t="s">
        <v>296</v>
      </c>
      <c r="J31" s="249" t="s">
        <v>1062</v>
      </c>
      <c r="K31" s="256"/>
      <c r="L31" s="256"/>
      <c r="M31" s="256"/>
      <c r="N31" s="256"/>
    </row>
    <row r="32" spans="1:14" s="297" customFormat="1" ht="24.9" customHeight="1" x14ac:dyDescent="0.3">
      <c r="A32" s="292">
        <v>32</v>
      </c>
      <c r="B32" s="293" t="s">
        <v>318</v>
      </c>
      <c r="C32" s="293" t="s">
        <v>319</v>
      </c>
      <c r="D32" s="292" t="s">
        <v>320</v>
      </c>
      <c r="E32" s="292" t="s">
        <v>289</v>
      </c>
      <c r="F32" s="294">
        <v>44652</v>
      </c>
      <c r="G32" s="294">
        <v>47057</v>
      </c>
      <c r="H32" s="293" t="s">
        <v>290</v>
      </c>
      <c r="I32" s="292" t="s">
        <v>321</v>
      </c>
      <c r="J32" s="293" t="s">
        <v>322</v>
      </c>
      <c r="K32" s="295" t="s">
        <v>1130</v>
      </c>
      <c r="L32" s="296"/>
      <c r="M32" s="296"/>
      <c r="N32" s="296"/>
    </row>
    <row r="33" spans="1:14" s="297" customFormat="1" ht="24.9" customHeight="1" x14ac:dyDescent="0.3">
      <c r="A33" s="292">
        <v>33</v>
      </c>
      <c r="B33" s="293" t="s">
        <v>318</v>
      </c>
      <c r="C33" s="293" t="s">
        <v>574</v>
      </c>
      <c r="D33" s="292" t="s">
        <v>320</v>
      </c>
      <c r="E33" s="292" t="s">
        <v>289</v>
      </c>
      <c r="F33" s="294">
        <v>44652</v>
      </c>
      <c r="G33" s="294">
        <v>47057</v>
      </c>
      <c r="H33" s="293" t="s">
        <v>290</v>
      </c>
      <c r="I33" s="292" t="s">
        <v>321</v>
      </c>
      <c r="J33" s="293" t="s">
        <v>322</v>
      </c>
      <c r="K33" s="295" t="s">
        <v>1122</v>
      </c>
      <c r="L33" s="296"/>
      <c r="M33" s="296"/>
      <c r="N33" s="296"/>
    </row>
    <row r="34" spans="1:14" s="297" customFormat="1" ht="24.9" customHeight="1" x14ac:dyDescent="0.3">
      <c r="A34" s="292">
        <v>34</v>
      </c>
      <c r="B34" s="293" t="s">
        <v>318</v>
      </c>
      <c r="C34" s="293" t="s">
        <v>575</v>
      </c>
      <c r="D34" s="292" t="s">
        <v>320</v>
      </c>
      <c r="E34" s="292" t="s">
        <v>289</v>
      </c>
      <c r="F34" s="294">
        <v>44652</v>
      </c>
      <c r="G34" s="294">
        <v>47057</v>
      </c>
      <c r="H34" s="293" t="s">
        <v>290</v>
      </c>
      <c r="I34" s="292" t="s">
        <v>321</v>
      </c>
      <c r="J34" s="293" t="s">
        <v>322</v>
      </c>
      <c r="K34" s="295" t="s">
        <v>1122</v>
      </c>
      <c r="L34" s="296"/>
      <c r="M34" s="296"/>
      <c r="N34" s="296"/>
    </row>
    <row r="35" spans="1:14" s="291" customFormat="1" ht="24.9" customHeight="1" x14ac:dyDescent="0.3">
      <c r="A35" s="287">
        <v>35</v>
      </c>
      <c r="B35" s="288" t="s">
        <v>343</v>
      </c>
      <c r="C35" s="288" t="s">
        <v>344</v>
      </c>
      <c r="D35" s="287" t="s">
        <v>345</v>
      </c>
      <c r="E35" s="287" t="s">
        <v>289</v>
      </c>
      <c r="F35" s="289">
        <v>45200</v>
      </c>
      <c r="G35" s="289">
        <v>45930</v>
      </c>
      <c r="H35" s="288" t="s">
        <v>290</v>
      </c>
      <c r="I35" s="287" t="s">
        <v>321</v>
      </c>
      <c r="J35" s="288" t="s">
        <v>346</v>
      </c>
      <c r="K35" s="290" t="s">
        <v>1121</v>
      </c>
      <c r="L35" s="290"/>
      <c r="M35" s="290"/>
      <c r="N35" s="290"/>
    </row>
    <row r="36" spans="1:14" s="297" customFormat="1" ht="24.9" customHeight="1" x14ac:dyDescent="0.45">
      <c r="A36" s="292">
        <v>36</v>
      </c>
      <c r="B36" s="293" t="s">
        <v>365</v>
      </c>
      <c r="C36" s="293" t="s">
        <v>366</v>
      </c>
      <c r="D36" s="292" t="s">
        <v>367</v>
      </c>
      <c r="E36" s="292" t="s">
        <v>289</v>
      </c>
      <c r="F36" s="298">
        <v>45243</v>
      </c>
      <c r="G36" s="294">
        <v>46538</v>
      </c>
      <c r="H36" s="293" t="s">
        <v>290</v>
      </c>
      <c r="I36" s="292" t="s">
        <v>321</v>
      </c>
      <c r="J36" s="293" t="s">
        <v>368</v>
      </c>
      <c r="K36" s="299" t="s">
        <v>1123</v>
      </c>
      <c r="L36" s="296"/>
      <c r="M36" s="296"/>
      <c r="N36" s="296"/>
    </row>
    <row r="37" spans="1:14" s="297" customFormat="1" ht="24.9" customHeight="1" x14ac:dyDescent="0.3">
      <c r="A37" s="292">
        <v>37</v>
      </c>
      <c r="B37" s="293" t="s">
        <v>108</v>
      </c>
      <c r="C37" s="293" t="s">
        <v>403</v>
      </c>
      <c r="D37" s="292" t="s">
        <v>404</v>
      </c>
      <c r="E37" s="292" t="s">
        <v>289</v>
      </c>
      <c r="F37" s="294">
        <v>45108</v>
      </c>
      <c r="G37" s="294">
        <v>46265</v>
      </c>
      <c r="H37" s="293" t="s">
        <v>290</v>
      </c>
      <c r="I37" s="292" t="s">
        <v>321</v>
      </c>
      <c r="J37" s="293" t="s">
        <v>405</v>
      </c>
      <c r="K37" s="312" t="s">
        <v>1124</v>
      </c>
      <c r="L37" s="296"/>
      <c r="M37" s="296"/>
      <c r="N37" s="296"/>
    </row>
    <row r="38" spans="1:14" s="304" customFormat="1" ht="24.9" customHeight="1" x14ac:dyDescent="0.3">
      <c r="A38" s="300">
        <v>38</v>
      </c>
      <c r="B38" s="301" t="s">
        <v>413</v>
      </c>
      <c r="C38" s="301" t="s">
        <v>439</v>
      </c>
      <c r="D38" s="300" t="s">
        <v>440</v>
      </c>
      <c r="E38" s="300" t="s">
        <v>295</v>
      </c>
      <c r="F38" s="305">
        <v>45251</v>
      </c>
      <c r="G38" s="302">
        <v>46992</v>
      </c>
      <c r="H38" s="301" t="s">
        <v>290</v>
      </c>
      <c r="I38" s="300" t="s">
        <v>321</v>
      </c>
      <c r="J38" s="301" t="s">
        <v>441</v>
      </c>
      <c r="K38" s="303" t="s">
        <v>1125</v>
      </c>
      <c r="L38" s="303"/>
      <c r="M38" s="303"/>
      <c r="N38" s="303"/>
    </row>
    <row r="39" spans="1:14" s="311" customFormat="1" ht="24.9" customHeight="1" x14ac:dyDescent="0.3">
      <c r="A39" s="306">
        <v>39</v>
      </c>
      <c r="B39" s="307" t="s">
        <v>500</v>
      </c>
      <c r="C39" s="307" t="s">
        <v>515</v>
      </c>
      <c r="D39" s="306" t="s">
        <v>516</v>
      </c>
      <c r="E39" s="306" t="s">
        <v>289</v>
      </c>
      <c r="F39" s="308">
        <v>45658</v>
      </c>
      <c r="G39" s="308">
        <v>47268</v>
      </c>
      <c r="H39" s="307" t="s">
        <v>290</v>
      </c>
      <c r="I39" s="306" t="s">
        <v>321</v>
      </c>
      <c r="J39" s="307" t="s">
        <v>517</v>
      </c>
      <c r="K39" s="309" t="s">
        <v>1137</v>
      </c>
      <c r="L39" s="310"/>
      <c r="M39" s="310"/>
      <c r="N39" s="310"/>
    </row>
    <row r="40" spans="1:14" s="304" customFormat="1" ht="24.9" customHeight="1" x14ac:dyDescent="0.3">
      <c r="A40" s="300">
        <v>40</v>
      </c>
      <c r="B40" s="301" t="s">
        <v>531</v>
      </c>
      <c r="C40" s="301" t="s">
        <v>532</v>
      </c>
      <c r="D40" s="300" t="s">
        <v>533</v>
      </c>
      <c r="E40" s="300" t="s">
        <v>289</v>
      </c>
      <c r="F40" s="302">
        <v>44929</v>
      </c>
      <c r="G40" s="302">
        <v>46025</v>
      </c>
      <c r="H40" s="301" t="s">
        <v>290</v>
      </c>
      <c r="I40" s="300" t="s">
        <v>321</v>
      </c>
      <c r="J40" s="301" t="s">
        <v>1063</v>
      </c>
      <c r="K40" s="303" t="s">
        <v>1126</v>
      </c>
      <c r="L40" s="303"/>
      <c r="M40" s="303"/>
      <c r="N40" s="303"/>
    </row>
    <row r="41" spans="1:14" s="304" customFormat="1" ht="24.9" customHeight="1" x14ac:dyDescent="0.3">
      <c r="A41" s="300">
        <v>41</v>
      </c>
      <c r="B41" s="301" t="s">
        <v>399</v>
      </c>
      <c r="C41" s="301" t="s">
        <v>563</v>
      </c>
      <c r="D41" s="300" t="s">
        <v>540</v>
      </c>
      <c r="E41" s="300" t="s">
        <v>289</v>
      </c>
      <c r="F41" s="302">
        <v>43862</v>
      </c>
      <c r="G41" s="302">
        <v>45930</v>
      </c>
      <c r="H41" s="301" t="s">
        <v>290</v>
      </c>
      <c r="I41" s="300" t="s">
        <v>321</v>
      </c>
      <c r="J41" s="301" t="s">
        <v>541</v>
      </c>
      <c r="K41" s="303" t="s">
        <v>1127</v>
      </c>
      <c r="L41" s="303"/>
      <c r="M41" s="303"/>
      <c r="N41" s="303"/>
    </row>
    <row r="42" spans="1:14" s="297" customFormat="1" ht="24.9" customHeight="1" x14ac:dyDescent="0.3">
      <c r="A42" s="292">
        <v>42</v>
      </c>
      <c r="B42" s="293" t="s">
        <v>108</v>
      </c>
      <c r="C42" s="293" t="s">
        <v>564</v>
      </c>
      <c r="D42" s="292" t="s">
        <v>404</v>
      </c>
      <c r="E42" s="292" t="s">
        <v>289</v>
      </c>
      <c r="F42" s="294">
        <v>45108</v>
      </c>
      <c r="G42" s="294">
        <v>46265</v>
      </c>
      <c r="H42" s="293" t="s">
        <v>290</v>
      </c>
      <c r="I42" s="292" t="s">
        <v>321</v>
      </c>
      <c r="J42" s="293" t="s">
        <v>405</v>
      </c>
      <c r="K42" s="312" t="s">
        <v>1124</v>
      </c>
      <c r="L42" s="296"/>
      <c r="M42" s="296"/>
      <c r="N42" s="296"/>
    </row>
    <row r="43" spans="1:14" s="297" customFormat="1" ht="24.9" customHeight="1" x14ac:dyDescent="0.3">
      <c r="A43" s="292">
        <v>43</v>
      </c>
      <c r="B43" s="293" t="s">
        <v>108</v>
      </c>
      <c r="C43" s="293" t="s">
        <v>565</v>
      </c>
      <c r="D43" s="292" t="s">
        <v>407</v>
      </c>
      <c r="E43" s="292" t="s">
        <v>358</v>
      </c>
      <c r="F43" s="294">
        <v>44927</v>
      </c>
      <c r="G43" s="298">
        <v>46022</v>
      </c>
      <c r="H43" s="293" t="s">
        <v>290</v>
      </c>
      <c r="I43" s="292" t="s">
        <v>321</v>
      </c>
      <c r="J43" s="293" t="s">
        <v>408</v>
      </c>
      <c r="K43" s="312" t="s">
        <v>1124</v>
      </c>
      <c r="L43" s="296"/>
      <c r="M43" s="296"/>
      <c r="N43" s="296"/>
    </row>
    <row r="44" spans="1:14" s="297" customFormat="1" ht="24.9" customHeight="1" x14ac:dyDescent="0.3">
      <c r="A44" s="292">
        <v>44</v>
      </c>
      <c r="B44" s="293" t="s">
        <v>108</v>
      </c>
      <c r="C44" s="293" t="s">
        <v>579</v>
      </c>
      <c r="D44" s="292" t="s">
        <v>407</v>
      </c>
      <c r="E44" s="292" t="s">
        <v>358</v>
      </c>
      <c r="F44" s="294">
        <v>44927</v>
      </c>
      <c r="G44" s="298">
        <v>46022</v>
      </c>
      <c r="H44" s="293" t="s">
        <v>290</v>
      </c>
      <c r="I44" s="292" t="s">
        <v>321</v>
      </c>
      <c r="J44" s="293" t="s">
        <v>1073</v>
      </c>
      <c r="K44" s="312" t="s">
        <v>1124</v>
      </c>
      <c r="L44" s="296"/>
      <c r="M44" s="296"/>
      <c r="N44" s="296"/>
    </row>
    <row r="45" spans="1:14" s="304" customFormat="1" ht="24.9" customHeight="1" x14ac:dyDescent="0.3">
      <c r="A45" s="300">
        <v>45</v>
      </c>
      <c r="B45" s="301" t="s">
        <v>146</v>
      </c>
      <c r="C45" s="301" t="s">
        <v>1064</v>
      </c>
      <c r="D45" s="300" t="s">
        <v>464</v>
      </c>
      <c r="E45" s="300" t="s">
        <v>289</v>
      </c>
      <c r="F45" s="302">
        <v>45778</v>
      </c>
      <c r="G45" s="302">
        <v>46507</v>
      </c>
      <c r="H45" s="301" t="s">
        <v>290</v>
      </c>
      <c r="I45" s="300" t="s">
        <v>321</v>
      </c>
      <c r="J45" s="301" t="s">
        <v>1065</v>
      </c>
      <c r="K45" s="303" t="s">
        <v>1128</v>
      </c>
      <c r="L45" s="303"/>
      <c r="M45" s="303"/>
      <c r="N45" s="303"/>
    </row>
    <row r="46" spans="1:14" s="304" customFormat="1" ht="24.9" customHeight="1" x14ac:dyDescent="0.3">
      <c r="A46" s="300">
        <v>46</v>
      </c>
      <c r="B46" s="301" t="s">
        <v>1066</v>
      </c>
      <c r="C46" s="301" t="s">
        <v>1069</v>
      </c>
      <c r="D46" s="300" t="s">
        <v>1067</v>
      </c>
      <c r="E46" s="300" t="s">
        <v>295</v>
      </c>
      <c r="F46" s="302">
        <v>43493</v>
      </c>
      <c r="G46" s="302">
        <v>46112</v>
      </c>
      <c r="H46" s="301" t="s">
        <v>290</v>
      </c>
      <c r="I46" s="300" t="s">
        <v>321</v>
      </c>
      <c r="J46" s="301" t="s">
        <v>1068</v>
      </c>
      <c r="K46" s="303" t="s">
        <v>1129</v>
      </c>
      <c r="L46" s="303"/>
      <c r="M46" s="303"/>
      <c r="N46" s="303"/>
    </row>
    <row r="47" spans="1:14" s="297" customFormat="1" ht="24.9" customHeight="1" x14ac:dyDescent="0.45">
      <c r="A47" s="292">
        <v>47</v>
      </c>
      <c r="B47" s="293" t="s">
        <v>1070</v>
      </c>
      <c r="C47" s="293" t="s">
        <v>1071</v>
      </c>
      <c r="D47" s="292" t="s">
        <v>1072</v>
      </c>
      <c r="E47" s="292" t="s">
        <v>289</v>
      </c>
      <c r="F47" s="294">
        <v>42345</v>
      </c>
      <c r="G47" s="294">
        <v>46752</v>
      </c>
      <c r="H47" s="293" t="s">
        <v>290</v>
      </c>
      <c r="I47" s="292" t="s">
        <v>321</v>
      </c>
      <c r="J47" s="293" t="s">
        <v>1136</v>
      </c>
      <c r="K47" s="299" t="s">
        <v>1123</v>
      </c>
      <c r="L47" s="296"/>
      <c r="M47" s="296"/>
      <c r="N47" s="296"/>
    </row>
    <row r="48" spans="1:14" ht="24.9" customHeight="1" x14ac:dyDescent="0.3">
      <c r="A48" s="253">
        <v>48</v>
      </c>
      <c r="B48" s="249" t="s">
        <v>17</v>
      </c>
      <c r="C48" s="261" t="s">
        <v>287</v>
      </c>
      <c r="D48" s="253" t="s">
        <v>288</v>
      </c>
      <c r="E48" s="253" t="s">
        <v>289</v>
      </c>
      <c r="F48" s="254">
        <v>43647</v>
      </c>
      <c r="G48" s="258">
        <v>46752</v>
      </c>
      <c r="H48" s="249" t="s">
        <v>1074</v>
      </c>
      <c r="I48" s="253" t="s">
        <v>291</v>
      </c>
      <c r="J48" s="249" t="s">
        <v>292</v>
      </c>
      <c r="K48" s="256"/>
      <c r="L48" s="256"/>
      <c r="M48" s="256"/>
      <c r="N48" s="256"/>
    </row>
    <row r="49" spans="1:14" ht="24.9" customHeight="1" x14ac:dyDescent="0.3">
      <c r="A49" s="253">
        <v>49</v>
      </c>
      <c r="B49" s="249" t="s">
        <v>17</v>
      </c>
      <c r="C49" s="249" t="s">
        <v>315</v>
      </c>
      <c r="D49" s="253" t="s">
        <v>316</v>
      </c>
      <c r="E49" s="253" t="s">
        <v>289</v>
      </c>
      <c r="F49" s="254">
        <v>45748</v>
      </c>
      <c r="G49" s="254">
        <v>46843</v>
      </c>
      <c r="H49" s="249" t="s">
        <v>290</v>
      </c>
      <c r="I49" s="253" t="s">
        <v>291</v>
      </c>
      <c r="J49" s="249" t="s">
        <v>317</v>
      </c>
      <c r="K49" s="256"/>
      <c r="L49" s="256"/>
      <c r="M49" s="256"/>
      <c r="N49" s="256"/>
    </row>
    <row r="50" spans="1:14" ht="24.9" customHeight="1" x14ac:dyDescent="0.3">
      <c r="A50" s="253">
        <v>50</v>
      </c>
      <c r="B50" s="249" t="s">
        <v>388</v>
      </c>
      <c r="C50" s="249" t="s">
        <v>389</v>
      </c>
      <c r="D50" s="253" t="s">
        <v>390</v>
      </c>
      <c r="E50" s="253" t="s">
        <v>358</v>
      </c>
      <c r="F50" s="254">
        <v>41456</v>
      </c>
      <c r="G50" s="254">
        <v>46022</v>
      </c>
      <c r="H50" s="249" t="s">
        <v>290</v>
      </c>
      <c r="I50" s="253" t="s">
        <v>291</v>
      </c>
      <c r="J50" s="249" t="s">
        <v>1075</v>
      </c>
      <c r="K50" s="256"/>
      <c r="L50" s="256"/>
      <c r="M50" s="256"/>
      <c r="N50" s="256"/>
    </row>
    <row r="51" spans="1:14" ht="24.9" customHeight="1" x14ac:dyDescent="0.3">
      <c r="A51" s="253">
        <v>51</v>
      </c>
      <c r="B51" s="249" t="s">
        <v>413</v>
      </c>
      <c r="C51" s="249" t="s">
        <v>417</v>
      </c>
      <c r="D51" s="253" t="s">
        <v>415</v>
      </c>
      <c r="E51" s="253" t="s">
        <v>358</v>
      </c>
      <c r="F51" s="254">
        <v>44914</v>
      </c>
      <c r="G51" s="254">
        <v>46471</v>
      </c>
      <c r="H51" s="249" t="s">
        <v>290</v>
      </c>
      <c r="I51" s="253" t="s">
        <v>291</v>
      </c>
      <c r="J51" s="249" t="s">
        <v>1076</v>
      </c>
      <c r="K51" s="256"/>
      <c r="L51" s="256"/>
      <c r="M51" s="256"/>
      <c r="N51" s="256"/>
    </row>
    <row r="52" spans="1:14" ht="24.9" customHeight="1" x14ac:dyDescent="0.3">
      <c r="A52" s="253">
        <v>52</v>
      </c>
      <c r="B52" s="249" t="s">
        <v>413</v>
      </c>
      <c r="C52" s="249" t="s">
        <v>1077</v>
      </c>
      <c r="D52" s="253" t="s">
        <v>420</v>
      </c>
      <c r="E52" s="253" t="s">
        <v>289</v>
      </c>
      <c r="F52" s="254">
        <v>44197</v>
      </c>
      <c r="G52" s="254">
        <v>46538</v>
      </c>
      <c r="H52" s="249" t="s">
        <v>290</v>
      </c>
      <c r="I52" s="253" t="s">
        <v>291</v>
      </c>
      <c r="J52" s="249" t="s">
        <v>1078</v>
      </c>
      <c r="K52" s="256"/>
      <c r="L52" s="256"/>
      <c r="M52" s="256"/>
      <c r="N52" s="256"/>
    </row>
    <row r="53" spans="1:14" ht="24.9" customHeight="1" x14ac:dyDescent="0.3">
      <c r="A53" s="253">
        <v>53</v>
      </c>
      <c r="B53" s="249" t="s">
        <v>17</v>
      </c>
      <c r="C53" s="249" t="s">
        <v>1079</v>
      </c>
      <c r="D53" s="253" t="s">
        <v>522</v>
      </c>
      <c r="E53" s="253" t="s">
        <v>358</v>
      </c>
      <c r="F53" s="254">
        <v>45505</v>
      </c>
      <c r="G53" s="254">
        <v>45869</v>
      </c>
      <c r="H53" s="249" t="s">
        <v>290</v>
      </c>
      <c r="I53" s="253" t="s">
        <v>291</v>
      </c>
      <c r="J53" s="262" t="s">
        <v>523</v>
      </c>
      <c r="K53" s="256"/>
      <c r="L53" s="256" t="s">
        <v>1082</v>
      </c>
      <c r="M53" s="256"/>
      <c r="N53" s="256"/>
    </row>
    <row r="54" spans="1:14" ht="24.9" customHeight="1" x14ac:dyDescent="0.3">
      <c r="A54" s="253">
        <v>54</v>
      </c>
      <c r="B54" s="249" t="s">
        <v>105</v>
      </c>
      <c r="C54" s="249" t="s">
        <v>542</v>
      </c>
      <c r="D54" s="253" t="s">
        <v>393</v>
      </c>
      <c r="E54" s="253" t="s">
        <v>295</v>
      </c>
      <c r="F54" s="254">
        <v>44505</v>
      </c>
      <c r="G54" s="258">
        <v>46356</v>
      </c>
      <c r="H54" s="249" t="s">
        <v>290</v>
      </c>
      <c r="I54" s="253" t="s">
        <v>291</v>
      </c>
      <c r="J54" s="249" t="s">
        <v>543</v>
      </c>
      <c r="K54" s="256"/>
      <c r="L54" s="256"/>
      <c r="M54" s="256"/>
      <c r="N54" s="256"/>
    </row>
    <row r="55" spans="1:14" ht="24.9" customHeight="1" x14ac:dyDescent="0.3">
      <c r="A55" s="253">
        <v>55</v>
      </c>
      <c r="B55" s="249" t="s">
        <v>413</v>
      </c>
      <c r="C55" s="249" t="s">
        <v>566</v>
      </c>
      <c r="D55" s="253" t="s">
        <v>415</v>
      </c>
      <c r="E55" s="253" t="s">
        <v>358</v>
      </c>
      <c r="F55" s="254">
        <v>44927</v>
      </c>
      <c r="G55" s="257">
        <v>45747</v>
      </c>
      <c r="H55" s="249" t="s">
        <v>290</v>
      </c>
      <c r="I55" s="253" t="s">
        <v>291</v>
      </c>
      <c r="J55" s="249" t="s">
        <v>1080</v>
      </c>
      <c r="K55" s="256"/>
      <c r="L55" s="256" t="s">
        <v>1081</v>
      </c>
      <c r="M55" s="256"/>
      <c r="N55" s="256"/>
    </row>
    <row r="56" spans="1:14" ht="24.9" customHeight="1" x14ac:dyDescent="0.3">
      <c r="A56" s="253">
        <v>56</v>
      </c>
      <c r="B56" s="249" t="s">
        <v>413</v>
      </c>
      <c r="C56" s="249" t="s">
        <v>567</v>
      </c>
      <c r="D56" s="253" t="s">
        <v>415</v>
      </c>
      <c r="E56" s="253" t="s">
        <v>289</v>
      </c>
      <c r="F56" s="254">
        <v>44927</v>
      </c>
      <c r="G56" s="254">
        <v>46471</v>
      </c>
      <c r="H56" s="249" t="s">
        <v>290</v>
      </c>
      <c r="I56" s="253" t="s">
        <v>291</v>
      </c>
      <c r="J56" s="249" t="s">
        <v>1083</v>
      </c>
      <c r="K56" s="256"/>
      <c r="L56" s="256"/>
      <c r="M56" s="256"/>
      <c r="N56" s="256"/>
    </row>
    <row r="57" spans="1:14" ht="24.9" customHeight="1" x14ac:dyDescent="0.3">
      <c r="A57" s="253">
        <v>57</v>
      </c>
      <c r="B57" s="249" t="s">
        <v>413</v>
      </c>
      <c r="C57" s="249" t="s">
        <v>568</v>
      </c>
      <c r="D57" s="253" t="s">
        <v>415</v>
      </c>
      <c r="E57" s="253" t="s">
        <v>358</v>
      </c>
      <c r="F57" s="254">
        <v>44927</v>
      </c>
      <c r="G57" s="254">
        <v>46471</v>
      </c>
      <c r="H57" s="249" t="s">
        <v>290</v>
      </c>
      <c r="I57" s="253" t="s">
        <v>291</v>
      </c>
      <c r="J57" s="249" t="s">
        <v>1084</v>
      </c>
      <c r="K57" s="256"/>
      <c r="L57" s="256"/>
      <c r="M57" s="256"/>
      <c r="N57" s="256"/>
    </row>
    <row r="58" spans="1:14" ht="24.9" customHeight="1" x14ac:dyDescent="0.3">
      <c r="A58" s="253">
        <v>58</v>
      </c>
      <c r="B58" s="249" t="s">
        <v>1086</v>
      </c>
      <c r="C58" s="249" t="s">
        <v>1087</v>
      </c>
      <c r="D58" s="253" t="s">
        <v>1088</v>
      </c>
      <c r="E58" s="253" t="s">
        <v>289</v>
      </c>
      <c r="F58" s="254">
        <v>44550</v>
      </c>
      <c r="G58" s="258">
        <v>46025</v>
      </c>
      <c r="H58" s="249" t="s">
        <v>290</v>
      </c>
      <c r="I58" s="253" t="s">
        <v>296</v>
      </c>
      <c r="J58" s="249" t="s">
        <v>1089</v>
      </c>
      <c r="K58" s="256"/>
      <c r="L58" s="256"/>
      <c r="M58" s="256"/>
      <c r="N58" s="256"/>
    </row>
    <row r="59" spans="1:14" ht="24.9" customHeight="1" x14ac:dyDescent="0.3">
      <c r="A59" s="253">
        <v>59</v>
      </c>
      <c r="B59" s="249" t="s">
        <v>17</v>
      </c>
      <c r="C59" s="249" t="s">
        <v>1090</v>
      </c>
      <c r="D59" s="253" t="s">
        <v>1091</v>
      </c>
      <c r="E59" s="253" t="s">
        <v>289</v>
      </c>
      <c r="F59" s="258">
        <v>44176</v>
      </c>
      <c r="G59" s="258">
        <v>46001</v>
      </c>
      <c r="H59" s="249" t="s">
        <v>290</v>
      </c>
      <c r="I59" s="253" t="s">
        <v>291</v>
      </c>
      <c r="J59" s="249" t="s">
        <v>1092</v>
      </c>
      <c r="K59" s="256"/>
      <c r="L59" s="256"/>
      <c r="M59" s="256"/>
      <c r="N59" s="256"/>
    </row>
    <row r="60" spans="1:14" ht="24.9" customHeight="1" x14ac:dyDescent="0.3">
      <c r="A60" s="253">
        <v>60</v>
      </c>
      <c r="B60" s="249" t="s">
        <v>1093</v>
      </c>
      <c r="C60" s="249" t="s">
        <v>1094</v>
      </c>
      <c r="D60" s="253" t="s">
        <v>1095</v>
      </c>
      <c r="E60" s="253" t="s">
        <v>295</v>
      </c>
      <c r="F60" s="258">
        <v>43392</v>
      </c>
      <c r="G60" s="258">
        <v>46630</v>
      </c>
      <c r="H60" s="249" t="s">
        <v>290</v>
      </c>
      <c r="I60" s="253" t="s">
        <v>291</v>
      </c>
      <c r="J60" s="249" t="s">
        <v>1096</v>
      </c>
      <c r="K60" s="256"/>
      <c r="L60" s="256"/>
      <c r="M60" s="256"/>
      <c r="N60" s="256"/>
    </row>
    <row r="61" spans="1:14" ht="31.2" x14ac:dyDescent="0.3">
      <c r="A61" s="253">
        <v>61</v>
      </c>
      <c r="B61" s="250" t="s">
        <v>17</v>
      </c>
      <c r="C61" s="249" t="s">
        <v>1251</v>
      </c>
      <c r="J61" s="430" t="s">
        <v>1252</v>
      </c>
    </row>
  </sheetData>
  <autoFilter ref="B1:J60" xr:uid="{3A96A398-C954-40E6-AB6B-791135C1B925}"/>
  <hyperlinks>
    <hyperlink ref="K32" r:id="rId1" xr:uid="{8EE0B587-1CD9-4F71-95A8-CC26C2E7B14C}"/>
    <hyperlink ref="K33:K34" r:id="rId2" display="Gavin.Kirkpatrick@molnlycke.com" xr:uid="{CB3AC02B-D4E8-483A-9C54-5A61697C79EC}"/>
    <hyperlink ref="K4" r:id="rId3" display="mailto:giselle.lopez-ingram@mountsinai.org" xr:uid="{B30663EF-C749-4673-9283-1E6786C789ED}"/>
    <hyperlink ref="K3" r:id="rId4" display="mailto:Amarilis.Etayem@grainger.com" xr:uid="{66FC2E5A-4755-4E20-A729-BDA846E02C79}"/>
    <hyperlink ref="K7" r:id="rId5" display="mailto:sal.tranchina@mssm.edu" xr:uid="{29F17074-F25D-4B9A-A50E-01C31785D2E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2026 Rebates</vt:lpstr>
      <vt:lpstr>2025 Rebates</vt:lpstr>
      <vt:lpstr>2024 Rebates</vt:lpstr>
      <vt:lpstr>2023 Rebates</vt:lpstr>
      <vt:lpstr>Rebate Components Master List</vt:lpstr>
      <vt:lpstr>Un-Utilized Rebates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Christopher Paradise</dc:creator>
  <cp:lastModifiedBy>Paradise, Christopher</cp:lastModifiedBy>
  <dcterms:created xsi:type="dcterms:W3CDTF">2024-09-17T18:18:22Z</dcterms:created>
  <dcterms:modified xsi:type="dcterms:W3CDTF">2026-04-07T19:54:29Z</dcterms:modified>
</cp:coreProperties>
</file>